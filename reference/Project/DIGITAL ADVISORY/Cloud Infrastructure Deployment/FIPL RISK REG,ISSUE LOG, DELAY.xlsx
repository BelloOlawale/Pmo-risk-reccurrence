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202300"/>
  <mc:AlternateContent xmlns:mc="http://schemas.openxmlformats.org/markup-compatibility/2006">
    <mc:Choice Requires="x15">
      <x15ac:absPath xmlns:x15ac="http://schemas.microsoft.com/office/spreadsheetml/2010/11/ac" url="C:\Users\WhitneyNihi\Downloads\"/>
    </mc:Choice>
  </mc:AlternateContent>
  <xr:revisionPtr revIDLastSave="0" documentId="13_ncr:1_{DA39CDD3-914E-4254-A20D-64ED8E28DCC4}" xr6:coauthVersionLast="47" xr6:coauthVersionMax="47" xr10:uidLastSave="{00000000-0000-0000-0000-000000000000}"/>
  <bookViews>
    <workbookView xWindow="-120" yWindow="-120" windowWidth="29040" windowHeight="17520" xr2:uid="{1398F426-1762-4E7C-97C6-FC86310D5A75}"/>
  </bookViews>
  <sheets>
    <sheet name="Risk Register v2" sheetId="1" r:id="rId1"/>
    <sheet name="Issues Lo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 l="1"/>
  <c r="H8" i="1" s="1" a="1"/>
  <c r="H8" i="1" s="1"/>
  <c r="G9" i="1"/>
  <c r="H9" i="1" s="1" a="1"/>
  <c r="H9" i="1" s="1"/>
  <c r="G10" i="1"/>
  <c r="H10" i="1" s="1" a="1"/>
  <c r="H10" i="1" s="1"/>
  <c r="G11" i="1"/>
  <c r="H11" i="1" s="1" a="1"/>
  <c r="H11" i="1" s="1"/>
  <c r="G12" i="1"/>
  <c r="H12" i="1" s="1" a="1"/>
  <c r="H12" i="1" s="1"/>
  <c r="G13" i="1"/>
  <c r="H13" i="1" s="1" a="1"/>
  <c r="H13" i="1" s="1"/>
  <c r="G7" i="1"/>
  <c r="H7" i="1" s="1" a="1"/>
  <c r="H7" i="1" s="1"/>
  <c r="G123" i="1"/>
  <c r="H123" i="1" s="1" a="1"/>
  <c r="H123" i="1" s="1"/>
  <c r="G122" i="1"/>
  <c r="H122" i="1" s="1" a="1"/>
  <c r="H122" i="1" s="1"/>
  <c r="G121" i="1"/>
  <c r="H121" i="1" s="1" a="1"/>
  <c r="H121" i="1" s="1"/>
  <c r="G120" i="1"/>
  <c r="H120" i="1" s="1" a="1"/>
  <c r="H120" i="1" s="1"/>
  <c r="G119" i="1"/>
  <c r="H119" i="1" s="1" a="1"/>
  <c r="H119" i="1" s="1"/>
  <c r="G118" i="1"/>
  <c r="H118" i="1" s="1" a="1"/>
  <c r="H118" i="1" s="1"/>
  <c r="G117" i="1"/>
  <c r="H117" i="1" s="1" a="1"/>
  <c r="H117" i="1" s="1"/>
  <c r="G116" i="1"/>
  <c r="H116" i="1" s="1" a="1"/>
  <c r="H116" i="1" s="1"/>
  <c r="G115" i="1"/>
  <c r="H115" i="1" s="1" a="1"/>
  <c r="H115" i="1" s="1"/>
  <c r="G114" i="1"/>
  <c r="H114" i="1" s="1" a="1"/>
  <c r="H114" i="1" s="1"/>
  <c r="G113" i="1"/>
  <c r="H113" i="1" s="1" a="1"/>
  <c r="H113" i="1" s="1"/>
  <c r="G112" i="1"/>
  <c r="H112" i="1" s="1" a="1"/>
  <c r="H112" i="1" s="1"/>
  <c r="G111" i="1"/>
  <c r="H111" i="1" s="1" a="1"/>
  <c r="H111" i="1" s="1"/>
  <c r="G110" i="1"/>
  <c r="H110" i="1" s="1" a="1"/>
  <c r="H110" i="1" s="1"/>
  <c r="G109" i="1"/>
  <c r="H109" i="1" s="1" a="1"/>
  <c r="H109" i="1" s="1"/>
  <c r="G108" i="1"/>
  <c r="H108" i="1" s="1" a="1"/>
  <c r="H108" i="1" s="1"/>
  <c r="G107" i="1"/>
  <c r="H107" i="1" s="1" a="1"/>
  <c r="H107" i="1" s="1"/>
  <c r="G106" i="1"/>
  <c r="H106" i="1" s="1" a="1"/>
  <c r="H106" i="1" s="1"/>
  <c r="G105" i="1"/>
  <c r="H105" i="1" s="1" a="1"/>
  <c r="H105" i="1" s="1"/>
  <c r="G104" i="1"/>
  <c r="H104" i="1" s="1" a="1"/>
  <c r="H104" i="1" s="1"/>
  <c r="G103" i="1"/>
  <c r="H103" i="1" s="1" a="1"/>
  <c r="H103" i="1" s="1"/>
  <c r="G102" i="1"/>
  <c r="H102" i="1" s="1" a="1"/>
  <c r="H102" i="1" s="1"/>
  <c r="G101" i="1"/>
  <c r="H101" i="1" s="1" a="1"/>
  <c r="H101" i="1" s="1"/>
  <c r="G100" i="1"/>
  <c r="H100" i="1" s="1" a="1"/>
  <c r="H100" i="1" s="1"/>
  <c r="G99" i="1"/>
  <c r="H99" i="1" s="1" a="1"/>
  <c r="H99" i="1" s="1"/>
  <c r="G98" i="1"/>
  <c r="H98" i="1" s="1" a="1"/>
  <c r="H98" i="1" s="1"/>
  <c r="G97" i="1"/>
  <c r="H97" i="1" s="1" a="1"/>
  <c r="H97" i="1" s="1"/>
  <c r="G96" i="1"/>
  <c r="H96" i="1" s="1" a="1"/>
  <c r="H96" i="1" s="1"/>
  <c r="G95" i="1"/>
  <c r="H95" i="1" s="1" a="1"/>
  <c r="H95" i="1" s="1"/>
  <c r="G94" i="1"/>
  <c r="H94" i="1" s="1" a="1"/>
  <c r="H94" i="1" s="1"/>
  <c r="G93" i="1"/>
  <c r="H93" i="1" s="1" a="1"/>
  <c r="H93" i="1" s="1"/>
  <c r="G92" i="1"/>
  <c r="H92" i="1" s="1" a="1"/>
  <c r="H92" i="1" s="1"/>
  <c r="G91" i="1"/>
  <c r="H91" i="1" s="1" a="1"/>
  <c r="H91" i="1" s="1"/>
  <c r="G90" i="1"/>
  <c r="H90" i="1" s="1" a="1"/>
  <c r="H90" i="1" s="1"/>
  <c r="G89" i="1"/>
  <c r="H89" i="1" s="1" a="1"/>
  <c r="H89" i="1" s="1"/>
  <c r="G88" i="1"/>
  <c r="H88" i="1" s="1" a="1"/>
  <c r="H88" i="1" s="1"/>
  <c r="G87" i="1"/>
  <c r="H87" i="1" s="1" a="1"/>
  <c r="H87" i="1" s="1"/>
  <c r="G86" i="1"/>
  <c r="H86" i="1" s="1" a="1"/>
  <c r="H86" i="1" s="1"/>
  <c r="G85" i="1"/>
  <c r="H85" i="1" s="1" a="1"/>
  <c r="H85" i="1" s="1"/>
  <c r="G84" i="1"/>
  <c r="H84" i="1" s="1" a="1"/>
  <c r="H84" i="1" s="1"/>
  <c r="G83" i="1"/>
  <c r="H83" i="1" s="1" a="1"/>
  <c r="H83" i="1" s="1"/>
  <c r="G82" i="1"/>
  <c r="H82" i="1" s="1" a="1"/>
  <c r="H82" i="1" s="1"/>
  <c r="G81" i="1"/>
  <c r="H81" i="1" s="1" a="1"/>
  <c r="H81" i="1" s="1"/>
  <c r="G80" i="1"/>
  <c r="H80" i="1" s="1" a="1"/>
  <c r="H80" i="1" s="1"/>
  <c r="G79" i="1"/>
  <c r="H79" i="1" s="1" a="1"/>
  <c r="H79" i="1" s="1"/>
  <c r="G78" i="1"/>
  <c r="H78" i="1" s="1" a="1"/>
  <c r="H78" i="1" s="1"/>
  <c r="G77" i="1"/>
  <c r="H77" i="1" s="1" a="1"/>
  <c r="H77" i="1" s="1"/>
  <c r="G76" i="1"/>
  <c r="H76" i="1" s="1" a="1"/>
  <c r="H76" i="1" s="1"/>
  <c r="G75" i="1"/>
  <c r="H75" i="1" s="1" a="1"/>
  <c r="H75" i="1" s="1"/>
  <c r="G74" i="1"/>
  <c r="H74" i="1" s="1" a="1"/>
  <c r="H74" i="1" s="1"/>
  <c r="G73" i="1"/>
  <c r="H73" i="1" s="1" a="1"/>
  <c r="H73" i="1" s="1"/>
  <c r="G72" i="1"/>
  <c r="H72" i="1" s="1" a="1"/>
  <c r="H72" i="1" s="1"/>
  <c r="G71" i="1"/>
  <c r="H71" i="1" s="1" a="1"/>
  <c r="H71" i="1" s="1"/>
  <c r="G70" i="1"/>
  <c r="H70" i="1" s="1" a="1"/>
  <c r="H70" i="1" s="1"/>
  <c r="G69" i="1"/>
  <c r="H69" i="1" s="1" a="1"/>
  <c r="H69" i="1" s="1"/>
  <c r="G68" i="1"/>
  <c r="H68" i="1" s="1" a="1"/>
  <c r="H68" i="1" s="1"/>
  <c r="G67" i="1"/>
  <c r="H67" i="1" s="1" a="1"/>
  <c r="H67" i="1" s="1"/>
  <c r="G66" i="1"/>
  <c r="H66" i="1" s="1" a="1"/>
  <c r="H66" i="1" s="1"/>
  <c r="G65" i="1"/>
  <c r="H65" i="1" s="1" a="1"/>
  <c r="H65" i="1" s="1"/>
  <c r="G64" i="1"/>
  <c r="H64" i="1" s="1" a="1"/>
  <c r="H64" i="1" s="1"/>
  <c r="G63" i="1"/>
  <c r="H63" i="1" s="1" a="1"/>
  <c r="H63" i="1" s="1"/>
  <c r="G62" i="1"/>
  <c r="H62" i="1" s="1" a="1"/>
  <c r="H62" i="1" s="1"/>
  <c r="G61" i="1"/>
  <c r="H61" i="1" s="1" a="1"/>
  <c r="H61" i="1" s="1"/>
  <c r="G60" i="1"/>
  <c r="H60" i="1" s="1" a="1"/>
  <c r="H60" i="1" s="1"/>
  <c r="G59" i="1"/>
  <c r="H59" i="1" s="1" a="1"/>
  <c r="H59" i="1" s="1"/>
  <c r="G58" i="1"/>
  <c r="H58" i="1" s="1" a="1"/>
  <c r="H58" i="1" s="1"/>
  <c r="G57" i="1"/>
  <c r="H57" i="1" s="1" a="1"/>
  <c r="H57" i="1" s="1"/>
  <c r="G56" i="1"/>
  <c r="H56" i="1" s="1" a="1"/>
  <c r="H56" i="1" s="1"/>
  <c r="G55" i="1"/>
  <c r="H55" i="1" s="1" a="1"/>
  <c r="H55" i="1" s="1"/>
  <c r="G54" i="1"/>
  <c r="H54" i="1" s="1" a="1"/>
  <c r="H54" i="1" s="1"/>
  <c r="G53" i="1"/>
  <c r="H53" i="1" s="1" a="1"/>
  <c r="H53" i="1" s="1"/>
  <c r="G52" i="1"/>
  <c r="H52" i="1" s="1" a="1"/>
  <c r="H52" i="1" s="1"/>
  <c r="G51" i="1"/>
  <c r="H51" i="1" s="1" a="1"/>
  <c r="H51" i="1" s="1"/>
  <c r="G50" i="1"/>
  <c r="H50" i="1" s="1" a="1"/>
  <c r="H50" i="1" s="1"/>
  <c r="G49" i="1"/>
  <c r="H49" i="1" s="1" a="1"/>
  <c r="H49" i="1" s="1"/>
  <c r="G48" i="1"/>
  <c r="H48" i="1" s="1" a="1"/>
  <c r="H48" i="1" s="1"/>
  <c r="G47" i="1"/>
  <c r="H47" i="1" s="1" a="1"/>
  <c r="H47" i="1" s="1"/>
  <c r="G46" i="1"/>
  <c r="H46" i="1" s="1" a="1"/>
  <c r="H46" i="1" s="1"/>
  <c r="G45" i="1"/>
  <c r="H45" i="1" s="1" a="1"/>
  <c r="H45" i="1" s="1"/>
  <c r="G44" i="1"/>
  <c r="H44" i="1" s="1" a="1"/>
  <c r="H44" i="1" s="1"/>
  <c r="G43" i="1"/>
  <c r="H43" i="1" s="1" a="1"/>
  <c r="H43" i="1" s="1"/>
  <c r="G42" i="1"/>
  <c r="H42" i="1" s="1" a="1"/>
  <c r="H42" i="1" s="1"/>
  <c r="G41" i="1"/>
  <c r="H41" i="1" s="1" a="1"/>
  <c r="H41" i="1" s="1"/>
  <c r="G40" i="1"/>
  <c r="H40" i="1" s="1" a="1"/>
  <c r="H40" i="1" s="1"/>
  <c r="G39" i="1"/>
  <c r="H39" i="1" s="1" a="1"/>
  <c r="H39" i="1" s="1"/>
  <c r="G38" i="1"/>
  <c r="H38" i="1" s="1" a="1"/>
  <c r="H38" i="1" s="1"/>
  <c r="G37" i="1"/>
  <c r="H37" i="1" s="1" a="1"/>
  <c r="H37" i="1" s="1"/>
  <c r="G36" i="1"/>
  <c r="H36" i="1" s="1" a="1"/>
  <c r="H36" i="1" s="1"/>
  <c r="G35" i="1"/>
  <c r="H35" i="1" s="1" a="1"/>
  <c r="H35" i="1" s="1"/>
  <c r="G34" i="1"/>
  <c r="H34" i="1" s="1" a="1"/>
  <c r="H34" i="1" s="1"/>
  <c r="G33" i="1"/>
  <c r="H33" i="1" s="1" a="1"/>
  <c r="H33" i="1" s="1"/>
  <c r="G32" i="1"/>
  <c r="H32" i="1" s="1" a="1"/>
  <c r="H32" i="1" s="1"/>
  <c r="G31" i="1"/>
  <c r="H31" i="1" s="1" a="1"/>
  <c r="H31" i="1" s="1"/>
  <c r="G30" i="1"/>
  <c r="H30" i="1" s="1" a="1"/>
  <c r="H30" i="1" s="1"/>
  <c r="G29" i="1"/>
  <c r="H29" i="1" s="1" a="1"/>
  <c r="H29" i="1" s="1"/>
  <c r="G28" i="1"/>
  <c r="H28" i="1" s="1" a="1"/>
  <c r="H28" i="1" s="1"/>
  <c r="G27" i="1"/>
  <c r="H27" i="1" s="1" a="1"/>
  <c r="H27" i="1" s="1"/>
  <c r="G26" i="1"/>
  <c r="H26" i="1" s="1" a="1"/>
  <c r="H26" i="1" s="1"/>
  <c r="G25" i="1"/>
  <c r="H25" i="1" s="1" a="1"/>
  <c r="H25" i="1" s="1"/>
  <c r="G24" i="1"/>
  <c r="H24" i="1" s="1" a="1"/>
  <c r="H24" i="1" s="1"/>
  <c r="G23" i="1"/>
  <c r="H23" i="1" s="1" a="1"/>
  <c r="H23" i="1" s="1"/>
  <c r="G22" i="1"/>
  <c r="H22" i="1" s="1" a="1"/>
  <c r="H22" i="1" s="1"/>
  <c r="G21" i="1"/>
  <c r="H21" i="1" s="1" a="1"/>
  <c r="H21" i="1" s="1"/>
  <c r="G20" i="1"/>
  <c r="H20" i="1" s="1" a="1"/>
  <c r="H20" i="1" s="1"/>
  <c r="G19" i="1"/>
  <c r="H19" i="1" s="1" a="1"/>
  <c r="H19" i="1" s="1"/>
  <c r="G18" i="1"/>
  <c r="H18" i="1" s="1" a="1"/>
  <c r="H18" i="1" s="1"/>
  <c r="G17" i="1"/>
  <c r="H17" i="1" s="1" a="1"/>
  <c r="H17" i="1" s="1"/>
  <c r="G16" i="1"/>
  <c r="H16" i="1" s="1" a="1"/>
  <c r="H16" i="1" s="1"/>
  <c r="G15" i="1"/>
  <c r="H15" i="1" s="1" a="1"/>
  <c r="H15" i="1" s="1"/>
  <c r="G14" i="1"/>
  <c r="H14" i="1" s="1" a="1"/>
  <c r="H1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<sst xmlns="http://schemas.openxmlformats.org/spreadsheetml/2006/main" count="146" uniqueCount="94">
  <si>
    <t>ID</t>
  </si>
  <si>
    <t>PLC</t>
  </si>
  <si>
    <t>RISK</t>
  </si>
  <si>
    <t>PROBABILITY 1-5</t>
  </si>
  <si>
    <t>IMPACT 1-5</t>
  </si>
  <si>
    <t>PI SCORE</t>
  </si>
  <si>
    <t>RISK RANKING</t>
  </si>
  <si>
    <t>IMPLICATION</t>
  </si>
  <si>
    <t>RESPONSE OWNER</t>
  </si>
  <si>
    <t>EXPECTED RESPONSE IMPACT</t>
  </si>
  <si>
    <t>ACTUAL RESPONSE</t>
  </si>
  <si>
    <t>ACTUAL RESPONSE IMPACT</t>
  </si>
  <si>
    <t>PROBABILITY 1-5 KEY</t>
  </si>
  <si>
    <t>IMPACT 1-5 KEY</t>
  </si>
  <si>
    <t>Planning</t>
  </si>
  <si>
    <t>Delayed availability of stakeholders for requirement validation</t>
  </si>
  <si>
    <t>Execution</t>
  </si>
  <si>
    <t>MATERIALIZED RISK?</t>
  </si>
  <si>
    <t>Issue</t>
  </si>
  <si>
    <t>Status</t>
  </si>
  <si>
    <t>Risk ID</t>
  </si>
  <si>
    <t>IS001</t>
  </si>
  <si>
    <t>IS002</t>
  </si>
  <si>
    <t>IS003</t>
  </si>
  <si>
    <t>IS004</t>
  </si>
  <si>
    <t>RISK RESPONSE/MITIGATION</t>
  </si>
  <si>
    <t>First Independent Power Limited</t>
  </si>
  <si>
    <t xml:space="preserve">Lack of deep experience with deploying resources on AWS </t>
  </si>
  <si>
    <t>All</t>
  </si>
  <si>
    <t>Daniel</t>
  </si>
  <si>
    <t>Seek the expertise of resources within Azure to help out. 
Seek the expertise of other members in Digital Advisory with experience in AWS.
Contact the AWS account manager for direction
Liaise with the Reddington account manager for direction</t>
  </si>
  <si>
    <t>Provide knowledge on how to resolve blockers</t>
  </si>
  <si>
    <t>ALL</t>
  </si>
  <si>
    <t>Yes</t>
  </si>
  <si>
    <t>Unavailability of some of the support Project Resource from WRAGBY</t>
  </si>
  <si>
    <t>Possibility of the customer not registering under our organization</t>
  </si>
  <si>
    <t>No</t>
  </si>
  <si>
    <t>Cost</t>
  </si>
  <si>
    <t>Seek the expertise of the AWS and Reddington contact people
Convince the customer on the need to sign up under our organization</t>
  </si>
  <si>
    <t>Daniel, Ife</t>
  </si>
  <si>
    <t>The customer would sign up under our organization</t>
  </si>
  <si>
    <t>Possibility of underestimating or overestimating the the time and effort to complete the implementation</t>
  </si>
  <si>
    <t>Schedule</t>
  </si>
  <si>
    <t>Seek the support of the internal and external resources in estimating the work accurately.
Do some research on the things to be done</t>
  </si>
  <si>
    <t>Ife</t>
  </si>
  <si>
    <t>More accurate estimation</t>
  </si>
  <si>
    <t>Involvement of key resources in other projects</t>
  </si>
  <si>
    <t>Ensure dedicated resources are available, plan for resource allocation in advance</t>
  </si>
  <si>
    <t>Scope creep leading to increased costs and extended timelines</t>
  </si>
  <si>
    <t>Poor quality of deliverables not meeting customer expectations</t>
  </si>
  <si>
    <t>Strictly adhere to defined project scope
Given the strategic plans for the customer, additional scope items that require minimal effort can be done. However, the number and scope must be limited</t>
  </si>
  <si>
    <t>Customer satisfaction
minimal scope creep</t>
  </si>
  <si>
    <t>Develop a solutions architecture document
Ensure quality checks at every stage, align deliverables with customer expectations</t>
  </si>
  <si>
    <t>Customer's lack of readiness and understanding of solution deployed</t>
  </si>
  <si>
    <t>Closure</t>
  </si>
  <si>
    <t>Controlling</t>
  </si>
  <si>
    <t>Resolved</t>
  </si>
  <si>
    <t>Inadequate communication among project team and stakeholders</t>
  </si>
  <si>
    <t>VPN connectivity issues affecting project progress</t>
  </si>
  <si>
    <t>Non-responsiveness of key stakeholders (e.g., Nunayon)</t>
  </si>
  <si>
    <t>Issues with Sage server publishing and other technical requirements</t>
  </si>
  <si>
    <t>Complexity in the communication web among different teams and stakeholders</t>
  </si>
  <si>
    <t>Delay in obtaining customer consent for changes to account structure</t>
  </si>
  <si>
    <t>IS005</t>
  </si>
  <si>
    <t>IS006</t>
  </si>
  <si>
    <t>IS007</t>
  </si>
  <si>
    <t>IS008</t>
  </si>
  <si>
    <t>IS009</t>
  </si>
  <si>
    <t>RSK001</t>
  </si>
  <si>
    <t>RSK002</t>
  </si>
  <si>
    <t>RSK003</t>
  </si>
  <si>
    <t>RSK004</t>
  </si>
  <si>
    <t>RSK005</t>
  </si>
  <si>
    <t>RSK006</t>
  </si>
  <si>
    <t>RSK007</t>
  </si>
  <si>
    <t>RSK008</t>
  </si>
  <si>
    <t>Delay in project closure due to customer's non-responsiveness</t>
  </si>
  <si>
    <t>Decommission resources from the project
Use different communication means to reach the customer - WhatsApp, Michael, Email, Phone call</t>
  </si>
  <si>
    <t>Project closure</t>
  </si>
  <si>
    <t>Response implemented</t>
  </si>
  <si>
    <t>Allowed some additional scope that required minimal effort</t>
  </si>
  <si>
    <t>Provided clarity on the implementation</t>
  </si>
  <si>
    <t>Cutomer signed up under our organization</t>
  </si>
  <si>
    <t>Reduced the delays on the project</t>
  </si>
  <si>
    <t>Quality</t>
  </si>
  <si>
    <t>Improve quality of deliverables</t>
  </si>
  <si>
    <t>Improved quality of deliverables</t>
  </si>
  <si>
    <t>Save cost</t>
  </si>
  <si>
    <t>Customer would have an understanding of the solution</t>
  </si>
  <si>
    <t>Provide comprehensive support and training to the customer, ensure readiness before migration
Provide an As-Built document
Share link to the training session for the customer's reference</t>
  </si>
  <si>
    <t>customer had a good understanding of the solution after the training</t>
  </si>
  <si>
    <t>NA</t>
  </si>
  <si>
    <t>Delay in project closure due to pending approvals</t>
  </si>
  <si>
    <t>Project Type: Cloud Infrastructure Deployment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</si>
</sst>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0"/>
      <name val="Aptos Narrow"/>
      <family val="2"/>
      <scheme val="minor"/>
    </font>
    <font>
      <sz val="28"/>
      <color theme="0"/>
      <name val="Aptos Narrow"/>
      <family val="2"/>
      <scheme val="minor"/>
    </font>
    <font>
      <sz val="8"/>
      <name val="Aptos Narrow"/>
      <family val="2"/>
      <scheme val="minor"/>
    </font>
    <font>
      <sz val="18"/>
      <color theme="0"/>
      <name val="Aptos Narrow"/>
      <family val="2"/>
      <scheme val="minor"/>
    </font>
  </fonts>
  <fills count="6">
    <fill>
      <patternFill patternType="none"/>
    </fill>
    <fill>
      <patternFill patternType="gray125"/>
    </fill>
    <fill>
      <patternFill patternType="solid">
        <fgColor theme="3" tint="-0.249977111117893"/>
        <bgColor indexed="64"/>
      </patternFill>
    </fill>
    <fill>
      <patternFill patternType="solid">
        <fgColor theme="3" tint="9.9978637043366805E-2"/>
        <bgColor indexed="64"/>
      </patternFill>
    </fill>
    <fill>
      <patternFill patternType="solid">
        <fgColor theme="1"/>
        <bgColor indexed="64"/>
      </patternFill>
    </fill>
    <fill>
      <patternFill patternType="solid">
        <fgColor theme="2" tint="-0.749992370372631"/>
        <bgColor indexed="64"/>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7">
    <xf numFmtId="0" fontId="0" fillId="0" borderId="0" xfId="0"/>
    <xf numFmtId="0" fontId="1" fillId="2" borderId="0" xfId="0" applyFont="1" applyFill="1" applyAlignment="1">
      <alignment wrapText="1"/>
    </xf>
    <xf numFmtId="0" fontId="0" fillId="0" borderId="0" xfId="0" applyAlignment="1">
      <alignment wrapText="1"/>
    </xf>
    <xf numFmtId="0" fontId="0" fillId="0" borderId="9" xfId="0" applyBorder="1"/>
    <xf numFmtId="0" fontId="0" fillId="3" borderId="0" xfId="0" applyFill="1"/>
    <xf numFmtId="0" fontId="1" fillId="4" borderId="0" xfId="0" applyFont="1" applyFill="1" applyAlignment="1">
      <alignment wrapText="1"/>
    </xf>
    <xf numFmtId="0" fontId="1" fillId="5" borderId="9" xfId="0" applyFont="1" applyFill="1" applyBorder="1" applyAlignment="1">
      <alignment horizontal="center" vertical="center"/>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0" xfId="0" applyFont="1" applyFill="1" applyAlignment="1">
      <alignment horizontal="center" vertical="center" wrapText="1"/>
    </xf>
    <xf numFmtId="0" fontId="0" fillId="0" borderId="9" xfId="0" applyBorder="1" applyAlignment="1">
      <alignment wrapText="1"/>
    </xf>
    <xf numFmtId="0" fontId="2" fillId="3" borderId="7" xfId="0" applyFont="1" applyFill="1" applyBorder="1" applyAlignment="1">
      <alignment vertical="center"/>
    </xf>
    <xf numFmtId="0" fontId="0" fillId="0" borderId="4" xfId="0" applyBorder="1" applyAlignment="1">
      <alignment wrapText="1"/>
    </xf>
    <xf numFmtId="0" fontId="2" fillId="3" borderId="1" xfId="0" applyFont="1" applyFill="1" applyBorder="1" applyAlignment="1">
      <alignment vertical="center"/>
    </xf>
    <xf numFmtId="0" fontId="2" fillId="3" borderId="2" xfId="0" applyFont="1" applyFill="1" applyBorder="1" applyAlignment="1">
      <alignment vertical="center"/>
    </xf>
    <xf numFmtId="0" fontId="2" fillId="3" borderId="3" xfId="0" applyFont="1" applyFill="1" applyBorder="1" applyAlignment="1">
      <alignment vertical="center"/>
    </xf>
    <xf numFmtId="0" fontId="2" fillId="3" borderId="4" xfId="0" applyFont="1" applyFill="1" applyBorder="1" applyAlignment="1">
      <alignment vertical="center"/>
    </xf>
    <xf numFmtId="0" fontId="2" fillId="3" borderId="0" xfId="0" applyFont="1" applyFill="1" applyAlignment="1">
      <alignment vertical="center"/>
    </xf>
    <xf numFmtId="0" fontId="2" fillId="3" borderId="5" xfId="0" applyFont="1" applyFill="1" applyBorder="1" applyAlignment="1">
      <alignment vertical="center"/>
    </xf>
    <xf numFmtId="0" fontId="2" fillId="3" borderId="6" xfId="0" applyFont="1" applyFill="1" applyBorder="1" applyAlignment="1">
      <alignment vertical="center"/>
    </xf>
    <xf numFmtId="0" fontId="2" fillId="3" borderId="7" xfId="0" applyFont="1" applyFill="1" applyBorder="1" applyAlignment="1">
      <alignment vertical="center"/>
    </xf>
    <xf numFmtId="0" fontId="2" fillId="3" borderId="8" xfId="0" applyFont="1" applyFill="1" applyBorder="1" applyAlignment="1">
      <alignment vertical="center"/>
    </xf>
    <xf numFmtId="0" fontId="2" fillId="3" borderId="0" xfId="0" applyFont="1" applyFill="1" applyBorder="1" applyAlignment="1">
      <alignment vertical="center"/>
    </xf>
    <xf numFmtId="0" fontId="4" fillId="3" borderId="11" xfId="0" applyFont="1" applyFill="1" applyBorder="1" applyAlignment="1">
      <alignment horizontal="left" vertical="center"/>
    </xf>
    <xf numFmtId="0" fontId="4" fillId="3" borderId="12" xfId="0" applyFont="1" applyFill="1" applyBorder="1" applyAlignment="1">
      <alignment horizontal="left" vertical="center"/>
    </xf>
    <xf numFmtId="0" fontId="2" fillId="3" borderId="7" xfId="0" applyFont="1" applyFill="1" applyBorder="1" applyAlignment="1">
      <alignment horizontal="left" vertical="center"/>
    </xf>
  </cellXfs>
  <cellStyles count="1">
    <cellStyle name="Normal" xfId="0" builtinId="0"/>
  </cellStyles>
  <dxfs count="9">
    <dxf>
      <font>
        <color auto="1"/>
      </font>
      <fill>
        <patternFill>
          <bgColor theme="9"/>
        </patternFill>
      </fill>
    </dxf>
    <dxf>
      <font>
        <color auto="1"/>
      </font>
      <fill>
        <patternFill>
          <bgColor theme="5" tint="0.39994506668294322"/>
        </patternFill>
      </fill>
    </dxf>
    <dxf>
      <font>
        <color theme="0"/>
      </font>
      <fill>
        <patternFill>
          <bgColor rgb="FFFF0000"/>
        </patternFill>
      </fill>
    </dxf>
    <dxf>
      <fill>
        <patternFill>
          <fgColor theme="0"/>
          <bgColor rgb="FFFF0000"/>
        </patternFill>
      </fill>
    </dxf>
    <dxf>
      <font>
        <color theme="0"/>
      </font>
      <fill>
        <patternFill>
          <bgColor rgb="FFFF0000"/>
        </patternFill>
      </fill>
    </dxf>
    <dxf>
      <font>
        <color theme="0"/>
      </font>
      <fill>
        <patternFill>
          <bgColor theme="5"/>
        </patternFill>
      </fill>
    </dxf>
    <dxf>
      <fill>
        <patternFill>
          <bgColor rgb="FFFFFF00"/>
        </patternFill>
      </fill>
    </dxf>
    <dxf>
      <fill>
        <patternFill>
          <bgColor theme="9"/>
        </patternFill>
      </fill>
    </dxf>
    <dxf>
      <fill>
        <patternFill>
          <fgColor theme="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0D93E-C60C-4011-ABF5-D77BDAE91455}">
  <dimension ref="A1:W123"/>
  <sheetViews>
    <sheetView tabSelected="1" workbookViewId="0">
      <pane ySplit="6" topLeftCell="A7" activePane="bottomLeft" state="frozen"/>
      <selection pane="bottomLeft" activeCell="F8" sqref="F8"/>
    </sheetView>
  </sheetViews>
  <sheetFormatPr defaultRowHeight="15" x14ac:dyDescent="0.25"/>
  <cols>
    <col min="1" max="1" width="8.7109375" style="3"/>
    <col min="2" max="2" width="16.7109375" style="3" customWidth="1"/>
    <col min="3" max="3" width="34.5703125" style="11" customWidth="1"/>
    <col min="4" max="4" width="13.42578125" style="11" customWidth="1"/>
    <col min="5" max="6" width="15.42578125" style="3" customWidth="1"/>
    <col min="7" max="7" width="11.7109375" style="3" customWidth="1"/>
    <col min="8" max="8" width="18.28515625" style="3" customWidth="1"/>
    <col min="9" max="9" width="18.5703125" style="3" customWidth="1"/>
    <col min="10" max="10" width="46.42578125" style="11" customWidth="1"/>
    <col min="11" max="11" width="18.7109375" style="3" customWidth="1"/>
    <col min="12" max="12" width="24.140625" style="11" customWidth="1"/>
    <col min="13" max="13" width="24.140625" customWidth="1"/>
    <col min="14" max="16" width="17.28515625" customWidth="1"/>
    <col min="17" max="17" width="12.140625" customWidth="1"/>
    <col min="18" max="18" width="4.7109375" customWidth="1"/>
    <col min="19" max="19" width="8.42578125" customWidth="1"/>
    <col min="20" max="20" width="5.42578125" customWidth="1"/>
  </cols>
  <sheetData>
    <row r="1" spans="1:23" s="4" customFormat="1" ht="14.45" customHeight="1" x14ac:dyDescent="0.25">
      <c r="A1" s="14" t="s">
        <v>26</v>
      </c>
      <c r="B1" s="15"/>
      <c r="C1" s="15"/>
      <c r="D1" s="15"/>
      <c r="E1" s="15"/>
      <c r="F1" s="15"/>
      <c r="G1" s="15"/>
      <c r="H1" s="15"/>
      <c r="I1" s="15"/>
      <c r="J1" s="15"/>
      <c r="K1" s="15"/>
      <c r="L1" s="15"/>
      <c r="M1" s="15"/>
      <c r="N1" s="15"/>
      <c r="O1" s="15"/>
      <c r="P1" s="15"/>
      <c r="Q1" s="15"/>
      <c r="R1" s="15"/>
      <c r="S1" s="15"/>
      <c r="T1" s="15"/>
      <c r="U1" s="15"/>
      <c r="V1" s="15"/>
      <c r="W1" s="16"/>
    </row>
    <row r="2" spans="1:23" s="4" customFormat="1" ht="14.45" customHeight="1" x14ac:dyDescent="0.25">
      <c r="A2" s="17"/>
      <c r="B2" s="18"/>
      <c r="C2" s="18"/>
      <c r="D2" s="18"/>
      <c r="E2" s="18"/>
      <c r="F2" s="18"/>
      <c r="G2" s="18"/>
      <c r="H2" s="18"/>
      <c r="I2" s="18"/>
      <c r="J2" s="18"/>
      <c r="K2" s="18"/>
      <c r="L2" s="18"/>
      <c r="M2" s="18"/>
      <c r="N2" s="18"/>
      <c r="O2" s="18"/>
      <c r="P2" s="18"/>
      <c r="Q2" s="18"/>
      <c r="R2" s="18"/>
      <c r="S2" s="18"/>
      <c r="T2" s="18"/>
      <c r="U2" s="18"/>
      <c r="V2" s="18"/>
      <c r="W2" s="19"/>
    </row>
    <row r="3" spans="1:23" s="4" customFormat="1" ht="14.45" customHeight="1" x14ac:dyDescent="0.25">
      <c r="A3" s="17"/>
      <c r="B3" s="18"/>
      <c r="C3" s="18"/>
      <c r="D3" s="18"/>
      <c r="E3" s="18"/>
      <c r="F3" s="18"/>
      <c r="G3" s="18"/>
      <c r="H3" s="18"/>
      <c r="I3" s="18"/>
      <c r="J3" s="18"/>
      <c r="K3" s="18"/>
      <c r="L3" s="18"/>
      <c r="M3" s="18"/>
      <c r="N3" s="18"/>
      <c r="O3" s="18"/>
      <c r="P3" s="18"/>
      <c r="Q3" s="18"/>
      <c r="R3" s="18"/>
      <c r="S3" s="18"/>
      <c r="T3" s="18"/>
      <c r="U3" s="18"/>
      <c r="V3" s="18"/>
      <c r="W3" s="19"/>
    </row>
    <row r="4" spans="1:23" s="4" customFormat="1" ht="14.45" customHeight="1" x14ac:dyDescent="0.25">
      <c r="A4" s="20"/>
      <c r="B4" s="21"/>
      <c r="C4" s="21"/>
      <c r="D4" s="21"/>
      <c r="E4" s="21"/>
      <c r="F4" s="21"/>
      <c r="G4" s="21"/>
      <c r="H4" s="21"/>
      <c r="I4" s="21"/>
      <c r="J4" s="21"/>
      <c r="K4" s="21"/>
      <c r="L4" s="21"/>
      <c r="M4" s="21"/>
      <c r="N4" s="21"/>
      <c r="O4" s="21"/>
      <c r="P4" s="21"/>
      <c r="Q4" s="21"/>
      <c r="R4" s="21"/>
      <c r="S4" s="21"/>
      <c r="T4" s="21"/>
      <c r="U4" s="21"/>
      <c r="V4" s="21"/>
      <c r="W4" s="22"/>
    </row>
    <row r="5" spans="1:23" s="4" customFormat="1" ht="28.5" customHeight="1" x14ac:dyDescent="0.25">
      <c r="A5" s="24" t="s">
        <v>93</v>
      </c>
      <c r="B5" s="25"/>
      <c r="C5" s="25"/>
      <c r="D5" s="26"/>
      <c r="E5" s="12"/>
      <c r="F5" s="12"/>
      <c r="G5" s="12"/>
      <c r="H5" s="12"/>
      <c r="I5" s="12"/>
      <c r="J5" s="12"/>
      <c r="K5" s="12"/>
      <c r="L5" s="12"/>
      <c r="M5" s="12"/>
      <c r="N5" s="12"/>
      <c r="O5" s="23"/>
      <c r="P5" s="23"/>
      <c r="Q5" s="23"/>
      <c r="R5" s="23"/>
      <c r="S5" s="23"/>
      <c r="T5" s="23"/>
      <c r="U5" s="23"/>
      <c r="V5" s="23"/>
      <c r="W5" s="23"/>
    </row>
    <row r="6" spans="1:23" ht="45" x14ac:dyDescent="0.25">
      <c r="A6" s="6" t="s">
        <v>0</v>
      </c>
      <c r="B6" s="6" t="s">
        <v>1</v>
      </c>
      <c r="C6" s="7" t="s">
        <v>2</v>
      </c>
      <c r="D6" s="7" t="s">
        <v>17</v>
      </c>
      <c r="E6" s="7" t="s">
        <v>3</v>
      </c>
      <c r="F6" s="7" t="s">
        <v>4</v>
      </c>
      <c r="G6" s="7" t="s">
        <v>5</v>
      </c>
      <c r="H6" s="7" t="s">
        <v>6</v>
      </c>
      <c r="I6" s="7" t="s">
        <v>7</v>
      </c>
      <c r="J6" s="7" t="s">
        <v>25</v>
      </c>
      <c r="K6" s="7" t="s">
        <v>8</v>
      </c>
      <c r="L6" s="7" t="s">
        <v>9</v>
      </c>
      <c r="M6" s="8" t="s">
        <v>10</v>
      </c>
      <c r="N6" s="9" t="s">
        <v>11</v>
      </c>
      <c r="O6" s="10"/>
      <c r="P6" s="10"/>
      <c r="Q6" s="5" t="s">
        <v>12</v>
      </c>
      <c r="R6" s="2"/>
      <c r="S6" s="1" t="s">
        <v>13</v>
      </c>
    </row>
    <row r="7" spans="1:23" s="3" customFormat="1" ht="105" x14ac:dyDescent="0.25">
      <c r="A7" s="3" t="s">
        <v>68</v>
      </c>
      <c r="B7" s="3" t="s">
        <v>32</v>
      </c>
      <c r="C7" s="11" t="s">
        <v>27</v>
      </c>
      <c r="D7" s="11" t="s">
        <v>33</v>
      </c>
      <c r="E7" s="3">
        <v>2</v>
      </c>
      <c r="F7" s="3">
        <v>5</v>
      </c>
      <c r="G7" s="3">
        <f t="shared" ref="G7:G13" si="0">IF(E7*F7&gt;0,E7*F7,"")</f>
        <v>10</v>
      </c>
      <c r="H7" s="3" t="str" cm="1">
        <f t="array" ref="H7">IFERROR(_xlfn.IFS(G7&lt;5,"Low",G7&lt;10,"Medium",G7&lt;16,"High",G7&lt;26,"Very High"),"")</f>
        <v>High</v>
      </c>
      <c r="I7" s="3" t="s">
        <v>28</v>
      </c>
      <c r="J7" s="11" t="s">
        <v>30</v>
      </c>
      <c r="K7" s="3" t="s">
        <v>29</v>
      </c>
      <c r="L7" s="11" t="s">
        <v>31</v>
      </c>
      <c r="M7" t="s">
        <v>79</v>
      </c>
      <c r="N7" s="13" t="s">
        <v>81</v>
      </c>
      <c r="O7"/>
      <c r="P7"/>
      <c r="Q7"/>
      <c r="R7"/>
      <c r="S7"/>
      <c r="T7"/>
      <c r="U7"/>
      <c r="V7"/>
      <c r="W7"/>
    </row>
    <row r="8" spans="1:23" s="3" customFormat="1" ht="45" x14ac:dyDescent="0.25">
      <c r="A8" s="3" t="s">
        <v>69</v>
      </c>
      <c r="B8" s="3" t="s">
        <v>14</v>
      </c>
      <c r="C8" s="11" t="s">
        <v>41</v>
      </c>
      <c r="D8" s="11" t="s">
        <v>33</v>
      </c>
      <c r="E8" s="3">
        <v>3</v>
      </c>
      <c r="F8" s="3">
        <v>3</v>
      </c>
      <c r="G8" s="3">
        <f t="shared" si="0"/>
        <v>9</v>
      </c>
      <c r="H8" s="3" t="str" cm="1">
        <f t="array" ref="H8">IFERROR(_xlfn.IFS(G8&lt;5,"Low",G8&lt;10,"Medium",G8&lt;16,"High",G8&lt;26,"Very High"),"")</f>
        <v>Medium</v>
      </c>
      <c r="I8" s="3" t="s">
        <v>42</v>
      </c>
      <c r="J8" s="11" t="s">
        <v>43</v>
      </c>
      <c r="K8" s="3" t="s">
        <v>44</v>
      </c>
      <c r="L8" s="11" t="s">
        <v>45</v>
      </c>
      <c r="M8" t="s">
        <v>79</v>
      </c>
      <c r="N8" s="13" t="s">
        <v>81</v>
      </c>
      <c r="O8"/>
      <c r="P8"/>
      <c r="Q8"/>
      <c r="R8"/>
      <c r="S8"/>
      <c r="T8"/>
      <c r="U8"/>
      <c r="V8"/>
      <c r="W8"/>
    </row>
    <row r="9" spans="1:23" s="3" customFormat="1" ht="60" x14ac:dyDescent="0.25">
      <c r="A9" s="3" t="s">
        <v>70</v>
      </c>
      <c r="B9" s="3" t="s">
        <v>16</v>
      </c>
      <c r="C9" s="11" t="s">
        <v>35</v>
      </c>
      <c r="D9" s="11" t="s">
        <v>36</v>
      </c>
      <c r="E9" s="3">
        <v>3</v>
      </c>
      <c r="F9" s="3">
        <v>3</v>
      </c>
      <c r="G9" s="3">
        <f t="shared" si="0"/>
        <v>9</v>
      </c>
      <c r="H9" s="3" t="str" cm="1">
        <f t="array" ref="H9">IFERROR(_xlfn.IFS(G9&lt;5,"Low",G9&lt;10,"Medium",G9&lt;16,"High",G9&lt;26,"Very High"),"")</f>
        <v>Medium</v>
      </c>
      <c r="I9" s="3" t="s">
        <v>37</v>
      </c>
      <c r="J9" s="11" t="s">
        <v>38</v>
      </c>
      <c r="K9" s="3" t="s">
        <v>39</v>
      </c>
      <c r="L9" s="11" t="s">
        <v>40</v>
      </c>
      <c r="M9" t="s">
        <v>79</v>
      </c>
      <c r="N9" s="13" t="s">
        <v>82</v>
      </c>
      <c r="O9"/>
      <c r="P9"/>
      <c r="Q9"/>
      <c r="R9"/>
      <c r="S9"/>
      <c r="T9"/>
      <c r="U9"/>
      <c r="V9"/>
      <c r="W9"/>
    </row>
    <row r="10" spans="1:23" s="3" customFormat="1" ht="45" x14ac:dyDescent="0.25">
      <c r="A10" s="3" t="s">
        <v>71</v>
      </c>
      <c r="B10" s="3" t="s">
        <v>32</v>
      </c>
      <c r="C10" s="11" t="s">
        <v>46</v>
      </c>
      <c r="D10" s="11" t="s">
        <v>36</v>
      </c>
      <c r="E10" s="3">
        <v>2</v>
      </c>
      <c r="F10" s="3">
        <v>4</v>
      </c>
      <c r="G10" s="3">
        <f t="shared" si="0"/>
        <v>8</v>
      </c>
      <c r="H10" s="3" t="str" cm="1">
        <f t="array" ref="H10">IFERROR(_xlfn.IFS(G10&lt;5,"Low",G10&lt;10,"Medium",G10&lt;16,"High",G10&lt;26,"Very High"),"")</f>
        <v>Medium</v>
      </c>
      <c r="I10" s="3" t="s">
        <v>42</v>
      </c>
      <c r="J10" s="2" t="s">
        <v>47</v>
      </c>
      <c r="K10" s="3" t="s">
        <v>29</v>
      </c>
      <c r="L10" s="11"/>
      <c r="M10" t="s">
        <v>79</v>
      </c>
      <c r="N10" s="13" t="s">
        <v>83</v>
      </c>
      <c r="O10"/>
      <c r="P10"/>
      <c r="Q10"/>
      <c r="R10"/>
      <c r="S10"/>
      <c r="T10"/>
      <c r="U10"/>
      <c r="V10"/>
      <c r="W10"/>
    </row>
    <row r="11" spans="1:23" s="3" customFormat="1" ht="75" x14ac:dyDescent="0.25">
      <c r="A11" s="3" t="s">
        <v>72</v>
      </c>
      <c r="B11" s="3" t="s">
        <v>16</v>
      </c>
      <c r="C11" s="2" t="s">
        <v>48</v>
      </c>
      <c r="D11" t="s">
        <v>33</v>
      </c>
      <c r="E11">
        <v>2</v>
      </c>
      <c r="F11">
        <v>4</v>
      </c>
      <c r="G11" s="3">
        <f t="shared" si="0"/>
        <v>8</v>
      </c>
      <c r="H11" s="3" t="str" cm="1">
        <f t="array" ref="H11">IFERROR(_xlfn.IFS(G11&lt;5,"Low",G11&lt;10,"Medium",G11&lt;16,"High",G11&lt;26,"Very High"),"")</f>
        <v>Medium</v>
      </c>
      <c r="I11" t="s">
        <v>42</v>
      </c>
      <c r="J11" s="2" t="s">
        <v>50</v>
      </c>
      <c r="K11" t="s">
        <v>39</v>
      </c>
      <c r="L11" s="11" t="s">
        <v>51</v>
      </c>
      <c r="M11" t="s">
        <v>80</v>
      </c>
      <c r="N11"/>
      <c r="O11"/>
      <c r="P11"/>
      <c r="Q11"/>
      <c r="R11"/>
      <c r="S11"/>
      <c r="T11"/>
      <c r="U11"/>
      <c r="V11"/>
      <c r="W11"/>
    </row>
    <row r="12" spans="1:23" s="3" customFormat="1" ht="75" x14ac:dyDescent="0.25">
      <c r="A12" s="3" t="s">
        <v>73</v>
      </c>
      <c r="B12" s="3" t="s">
        <v>54</v>
      </c>
      <c r="C12" s="2" t="s">
        <v>53</v>
      </c>
      <c r="D12" t="s">
        <v>36</v>
      </c>
      <c r="E12">
        <v>3</v>
      </c>
      <c r="F12">
        <v>3</v>
      </c>
      <c r="G12" s="3">
        <f t="shared" si="0"/>
        <v>9</v>
      </c>
      <c r="H12" s="3" t="str" cm="1">
        <f t="array" ref="H12">IFERROR(_xlfn.IFS(G12&lt;5,"Low",G12&lt;10,"Medium",G12&lt;16,"High",G12&lt;26,"Very High"),"")</f>
        <v>Medium</v>
      </c>
      <c r="I12" t="s">
        <v>42</v>
      </c>
      <c r="J12" s="2" t="s">
        <v>89</v>
      </c>
      <c r="K12" t="s">
        <v>29</v>
      </c>
      <c r="L12" s="11" t="s">
        <v>88</v>
      </c>
      <c r="M12" t="s">
        <v>79</v>
      </c>
      <c r="N12" s="2" t="s">
        <v>90</v>
      </c>
      <c r="O12"/>
      <c r="P12"/>
      <c r="Q12"/>
      <c r="R12"/>
      <c r="S12"/>
      <c r="T12"/>
      <c r="U12"/>
      <c r="V12"/>
      <c r="W12"/>
    </row>
    <row r="13" spans="1:23" s="3" customFormat="1" ht="45" x14ac:dyDescent="0.25">
      <c r="A13" s="3" t="s">
        <v>74</v>
      </c>
      <c r="B13" s="3" t="s">
        <v>55</v>
      </c>
      <c r="C13" s="2" t="s">
        <v>49</v>
      </c>
      <c r="D13" t="s">
        <v>36</v>
      </c>
      <c r="E13">
        <v>1</v>
      </c>
      <c r="F13">
        <v>5</v>
      </c>
      <c r="G13" s="3">
        <f t="shared" si="0"/>
        <v>5</v>
      </c>
      <c r="H13" s="3" t="str" cm="1">
        <f t="array" ref="H13">IFERROR(_xlfn.IFS(G13&lt;5,"Low",G13&lt;10,"Medium",G13&lt;16,"High",G13&lt;26,"Very High"),"")</f>
        <v>Medium</v>
      </c>
      <c r="I13" t="s">
        <v>84</v>
      </c>
      <c r="J13" s="2" t="s">
        <v>52</v>
      </c>
      <c r="K13" t="s">
        <v>39</v>
      </c>
      <c r="L13" s="11" t="s">
        <v>85</v>
      </c>
      <c r="M13" t="s">
        <v>79</v>
      </c>
      <c r="N13" s="11" t="s">
        <v>86</v>
      </c>
      <c r="O13"/>
      <c r="P13"/>
      <c r="Q13"/>
      <c r="R13"/>
      <c r="S13"/>
      <c r="T13"/>
      <c r="U13"/>
      <c r="V13"/>
      <c r="W13"/>
    </row>
    <row r="14" spans="1:23" s="3" customFormat="1" ht="45" x14ac:dyDescent="0.25">
      <c r="A14" s="3" t="s">
        <v>75</v>
      </c>
      <c r="B14" s="3" t="s">
        <v>54</v>
      </c>
      <c r="C14" s="11" t="s">
        <v>76</v>
      </c>
      <c r="D14" s="11" t="s">
        <v>33</v>
      </c>
      <c r="E14" s="3">
        <v>4</v>
      </c>
      <c r="F14" s="3">
        <v>2</v>
      </c>
      <c r="G14" s="3">
        <f t="shared" ref="G14:G26" si="1">IF(E14*F14&gt;0,E14*F14,"")</f>
        <v>8</v>
      </c>
      <c r="H14" s="3" t="str" cm="1">
        <f t="array" ref="H14">IFERROR(_xlfn.IFS(G14&lt;5,"Low",G14&lt;10,"Medium",G14&lt;16,"High",G14&lt;26,"Very High"),"")</f>
        <v>Medium</v>
      </c>
      <c r="I14" s="3" t="s">
        <v>37</v>
      </c>
      <c r="J14" s="11" t="s">
        <v>77</v>
      </c>
      <c r="K14" s="3" t="s">
        <v>29</v>
      </c>
      <c r="L14" s="11" t="s">
        <v>87</v>
      </c>
      <c r="M14" t="s">
        <v>79</v>
      </c>
      <c r="N14" s="13" t="s">
        <v>78</v>
      </c>
      <c r="O14"/>
      <c r="P14"/>
      <c r="Q14"/>
      <c r="R14"/>
      <c r="S14"/>
      <c r="T14"/>
      <c r="U14"/>
      <c r="V14"/>
      <c r="W14"/>
    </row>
    <row r="15" spans="1:23" s="3" customFormat="1" x14ac:dyDescent="0.25">
      <c r="C15" s="11"/>
      <c r="D15" s="11"/>
      <c r="G15" s="3" t="str">
        <f t="shared" si="1"/>
        <v/>
      </c>
      <c r="H15" s="3" t="str" cm="1">
        <f t="array" ref="H15">IFERROR(_xlfn.IFS(G15&lt;5,"Low",G15&lt;10,"Medium",G15&lt;16,"High",G15&lt;26,"Very High"),"")</f>
        <v/>
      </c>
      <c r="J15" s="11"/>
      <c r="L15" s="11"/>
      <c r="M15"/>
      <c r="N15"/>
      <c r="O15"/>
      <c r="P15"/>
      <c r="Q15"/>
      <c r="R15"/>
      <c r="S15"/>
      <c r="T15"/>
      <c r="U15"/>
      <c r="V15"/>
      <c r="W15"/>
    </row>
    <row r="16" spans="1:23" s="3" customFormat="1" x14ac:dyDescent="0.25">
      <c r="C16" s="11"/>
      <c r="D16" s="11"/>
      <c r="G16" s="3" t="str">
        <f t="shared" si="1"/>
        <v/>
      </c>
      <c r="H16" s="3" t="str" cm="1">
        <f t="array" ref="H16">IFERROR(_xlfn.IFS(G16&lt;5,"Low",G16&lt;10,"Medium",G16&lt;16,"High",G16&lt;26,"Very High"),"")</f>
        <v/>
      </c>
      <c r="J16" s="11"/>
      <c r="L16" s="11"/>
      <c r="M16"/>
      <c r="N16"/>
      <c r="O16"/>
      <c r="P16"/>
      <c r="Q16"/>
      <c r="R16"/>
      <c r="S16"/>
      <c r="T16"/>
      <c r="U16"/>
      <c r="V16"/>
      <c r="W16"/>
    </row>
    <row r="17" spans="3:23" s="3" customFormat="1" x14ac:dyDescent="0.25">
      <c r="C17" s="11"/>
      <c r="D17" s="11"/>
      <c r="G17" s="3" t="str">
        <f t="shared" si="1"/>
        <v/>
      </c>
      <c r="H17" s="3" t="str" cm="1">
        <f t="array" ref="H17">IFERROR(_xlfn.IFS(G17&lt;5,"Low",G17&lt;10,"Medium",G17&lt;16,"High",G17&lt;26,"Very High"),"")</f>
        <v/>
      </c>
      <c r="J17" s="11"/>
      <c r="L17" s="11"/>
      <c r="M17"/>
      <c r="N17"/>
      <c r="O17"/>
      <c r="P17"/>
      <c r="Q17"/>
      <c r="R17"/>
      <c r="S17"/>
      <c r="T17"/>
      <c r="U17"/>
      <c r="V17"/>
      <c r="W17"/>
    </row>
    <row r="18" spans="3:23" s="3" customFormat="1" x14ac:dyDescent="0.25">
      <c r="C18" s="11"/>
      <c r="D18" s="11"/>
      <c r="G18" s="3" t="str">
        <f t="shared" si="1"/>
        <v/>
      </c>
      <c r="H18" s="3" t="str" cm="1">
        <f t="array" ref="H18">IFERROR(_xlfn.IFS(G18&lt;5,"Low",G18&lt;10,"Medium",G18&lt;16,"High",G18&lt;26,"Very High"),"")</f>
        <v/>
      </c>
      <c r="J18" s="11"/>
      <c r="L18" s="11"/>
      <c r="M18"/>
      <c r="N18"/>
      <c r="O18"/>
      <c r="P18"/>
      <c r="Q18"/>
      <c r="R18"/>
      <c r="S18"/>
      <c r="T18"/>
      <c r="U18"/>
      <c r="V18"/>
      <c r="W18"/>
    </row>
    <row r="19" spans="3:23" s="3" customFormat="1" x14ac:dyDescent="0.25">
      <c r="C19" s="11"/>
      <c r="D19" s="11"/>
      <c r="G19" s="3" t="str">
        <f t="shared" si="1"/>
        <v/>
      </c>
      <c r="H19" s="3" t="str" cm="1">
        <f t="array" ref="H19">IFERROR(_xlfn.IFS(G19&lt;5,"Low",G19&lt;10,"Medium",G19&lt;16,"High",G19&lt;26,"Very High"),"")</f>
        <v/>
      </c>
      <c r="J19" s="11"/>
      <c r="L19" s="11"/>
      <c r="M19"/>
      <c r="N19"/>
      <c r="O19"/>
      <c r="P19"/>
      <c r="Q19"/>
      <c r="R19"/>
      <c r="S19"/>
      <c r="T19"/>
      <c r="U19"/>
      <c r="V19"/>
      <c r="W19"/>
    </row>
    <row r="20" spans="3:23" s="3" customFormat="1" x14ac:dyDescent="0.25">
      <c r="C20" s="11"/>
      <c r="D20" s="11"/>
      <c r="G20" s="3" t="str">
        <f t="shared" si="1"/>
        <v/>
      </c>
      <c r="H20" s="3" t="str" cm="1">
        <f t="array" ref="H20">IFERROR(_xlfn.IFS(G20&lt;5,"Low",G20&lt;10,"Medium",G20&lt;16,"High",G20&lt;26,"Very High"),"")</f>
        <v/>
      </c>
      <c r="J20" s="11"/>
      <c r="L20" s="11"/>
      <c r="M20"/>
      <c r="N20"/>
      <c r="O20"/>
      <c r="P20"/>
      <c r="Q20"/>
      <c r="R20"/>
      <c r="S20"/>
      <c r="T20"/>
      <c r="U20"/>
      <c r="V20"/>
      <c r="W20"/>
    </row>
    <row r="21" spans="3:23" s="3" customFormat="1" x14ac:dyDescent="0.25">
      <c r="C21" s="11"/>
      <c r="D21" s="11"/>
      <c r="G21" s="3" t="str">
        <f t="shared" si="1"/>
        <v/>
      </c>
      <c r="H21" s="3" t="str" cm="1">
        <f t="array" ref="H21">IFERROR(_xlfn.IFS(G21&lt;5,"Low",G21&lt;10,"Medium",G21&lt;16,"High",G21&lt;26,"Very High"),"")</f>
        <v/>
      </c>
      <c r="J21" s="11"/>
      <c r="L21" s="11"/>
      <c r="M21"/>
      <c r="N21"/>
      <c r="O21"/>
      <c r="P21"/>
      <c r="Q21"/>
      <c r="R21"/>
      <c r="S21"/>
      <c r="T21"/>
      <c r="U21"/>
      <c r="V21"/>
      <c r="W21"/>
    </row>
    <row r="22" spans="3:23" s="3" customFormat="1" x14ac:dyDescent="0.25">
      <c r="C22" s="11"/>
      <c r="D22" s="11"/>
      <c r="G22" s="3" t="str">
        <f t="shared" si="1"/>
        <v/>
      </c>
      <c r="H22" s="3" t="str" cm="1">
        <f t="array" ref="H22">IFERROR(_xlfn.IFS(G22&lt;5,"Low",G22&lt;10,"Medium",G22&lt;16,"High",G22&lt;26,"Very High"),"")</f>
        <v/>
      </c>
      <c r="J22" s="11"/>
      <c r="L22" s="11"/>
      <c r="M22"/>
      <c r="N22"/>
      <c r="O22"/>
      <c r="P22"/>
      <c r="Q22"/>
      <c r="R22"/>
      <c r="S22"/>
      <c r="T22"/>
      <c r="U22"/>
      <c r="V22"/>
      <c r="W22"/>
    </row>
    <row r="23" spans="3:23" s="3" customFormat="1" x14ac:dyDescent="0.25">
      <c r="C23" s="11"/>
      <c r="D23" s="11"/>
      <c r="G23" s="3" t="str">
        <f t="shared" si="1"/>
        <v/>
      </c>
      <c r="H23" s="3" t="str" cm="1">
        <f t="array" ref="H23">IFERROR(_xlfn.IFS(G23&lt;5,"Low",G23&lt;10,"Medium",G23&lt;16,"High",G23&lt;26,"Very High"),"")</f>
        <v/>
      </c>
      <c r="J23" s="11"/>
      <c r="L23" s="11"/>
      <c r="M23"/>
      <c r="N23"/>
      <c r="O23"/>
      <c r="P23"/>
      <c r="Q23"/>
      <c r="R23"/>
      <c r="S23"/>
      <c r="T23"/>
      <c r="U23"/>
      <c r="V23"/>
      <c r="W23"/>
    </row>
    <row r="24" spans="3:23" s="3" customFormat="1" x14ac:dyDescent="0.25">
      <c r="C24" s="11"/>
      <c r="D24" s="11"/>
      <c r="G24" s="3" t="str">
        <f t="shared" si="1"/>
        <v/>
      </c>
      <c r="H24" s="3" t="str" cm="1">
        <f t="array" ref="H24">IFERROR(_xlfn.IFS(G24&lt;5,"Low",G24&lt;10,"Medium",G24&lt;16,"High",G24&lt;26,"Very High"),"")</f>
        <v/>
      </c>
      <c r="J24" s="11"/>
      <c r="L24" s="11"/>
      <c r="M24"/>
      <c r="N24"/>
      <c r="O24"/>
      <c r="P24"/>
      <c r="Q24"/>
      <c r="R24"/>
      <c r="S24"/>
      <c r="T24"/>
      <c r="U24"/>
      <c r="V24"/>
      <c r="W24"/>
    </row>
    <row r="25" spans="3:23" s="3" customFormat="1" x14ac:dyDescent="0.25">
      <c r="C25" s="11"/>
      <c r="D25" s="11"/>
      <c r="G25" s="3" t="str">
        <f t="shared" si="1"/>
        <v/>
      </c>
      <c r="H25" s="3" t="str" cm="1">
        <f t="array" ref="H25">IFERROR(_xlfn.IFS(G25&lt;5,"Low",G25&lt;10,"Medium",G25&lt;16,"High",G25&lt;26,"Very High"),"")</f>
        <v/>
      </c>
      <c r="J25" s="11"/>
      <c r="L25" s="11"/>
      <c r="M25"/>
      <c r="N25"/>
      <c r="O25"/>
      <c r="P25"/>
      <c r="Q25"/>
      <c r="R25"/>
      <c r="S25"/>
      <c r="T25"/>
      <c r="U25"/>
      <c r="V25"/>
      <c r="W25"/>
    </row>
    <row r="26" spans="3:23" s="3" customFormat="1" x14ac:dyDescent="0.25">
      <c r="C26" s="11"/>
      <c r="D26" s="11"/>
      <c r="G26" s="3" t="str">
        <f t="shared" si="1"/>
        <v/>
      </c>
      <c r="H26" s="3" t="str" cm="1">
        <f t="array" ref="H26">IFERROR(_xlfn.IFS(G26&lt;5,"Low",G26&lt;10,"Medium",G26&lt;16,"High",G26&lt;26,"Very High"),"")</f>
        <v/>
      </c>
      <c r="J26" s="11"/>
      <c r="L26" s="11"/>
      <c r="M26"/>
      <c r="N26"/>
      <c r="O26"/>
      <c r="P26"/>
      <c r="Q26"/>
      <c r="R26"/>
      <c r="S26"/>
      <c r="T26"/>
      <c r="U26"/>
      <c r="V26"/>
      <c r="W26"/>
    </row>
    <row r="27" spans="3:23" s="3" customFormat="1" x14ac:dyDescent="0.25">
      <c r="C27" s="11"/>
      <c r="D27" s="11"/>
      <c r="G27" s="3" t="str">
        <f t="shared" ref="G27:G90" si="2">IF(E27*F27&gt;0,E27*F27,"")</f>
        <v/>
      </c>
      <c r="H27" s="3" t="str" cm="1">
        <f t="array" ref="H27">IFERROR(_xlfn.IFS(G27&lt;5,"Low",G27&lt;10,"Medium",G27&lt;16,"High",G27&lt;26,"Very High"),"")</f>
        <v/>
      </c>
      <c r="J27" s="11"/>
      <c r="L27" s="11"/>
      <c r="M27"/>
      <c r="N27"/>
      <c r="O27"/>
      <c r="P27"/>
      <c r="Q27"/>
      <c r="R27"/>
      <c r="S27"/>
      <c r="T27"/>
      <c r="U27"/>
      <c r="V27"/>
      <c r="W27"/>
    </row>
    <row r="28" spans="3:23" s="3" customFormat="1" x14ac:dyDescent="0.25">
      <c r="C28" s="11"/>
      <c r="D28" s="11"/>
      <c r="G28" s="3" t="str">
        <f t="shared" si="2"/>
        <v/>
      </c>
      <c r="H28" s="3" t="str" cm="1">
        <f t="array" ref="H28">IFERROR(_xlfn.IFS(G28&lt;5,"Low",G28&lt;10,"Medium",G28&lt;16,"High",G28&lt;26,"Very High"),"")</f>
        <v/>
      </c>
      <c r="J28" s="11"/>
      <c r="L28" s="11"/>
      <c r="M28"/>
      <c r="N28"/>
      <c r="O28"/>
      <c r="P28"/>
      <c r="Q28"/>
      <c r="R28"/>
      <c r="S28"/>
      <c r="T28"/>
      <c r="U28"/>
      <c r="V28"/>
      <c r="W28"/>
    </row>
    <row r="29" spans="3:23" s="3" customFormat="1" x14ac:dyDescent="0.25">
      <c r="C29" s="11"/>
      <c r="D29" s="11"/>
      <c r="G29" s="3" t="str">
        <f t="shared" si="2"/>
        <v/>
      </c>
      <c r="H29" s="3" t="str" cm="1">
        <f t="array" ref="H29">IFERROR(_xlfn.IFS(G29&lt;5,"Low",G29&lt;10,"Medium",G29&lt;16,"High",G29&lt;26,"Very High"),"")</f>
        <v/>
      </c>
      <c r="J29" s="11"/>
      <c r="L29" s="11"/>
      <c r="M29"/>
      <c r="N29"/>
      <c r="O29"/>
      <c r="P29"/>
      <c r="Q29"/>
      <c r="R29"/>
      <c r="S29"/>
      <c r="T29"/>
      <c r="U29"/>
      <c r="V29"/>
      <c r="W29"/>
    </row>
    <row r="30" spans="3:23" s="3" customFormat="1" x14ac:dyDescent="0.25">
      <c r="C30" s="11"/>
      <c r="D30" s="11"/>
      <c r="G30" s="3" t="str">
        <f t="shared" si="2"/>
        <v/>
      </c>
      <c r="H30" s="3" t="str" cm="1">
        <f t="array" ref="H30">IFERROR(_xlfn.IFS(G30&lt;5,"Low",G30&lt;10,"Medium",G30&lt;16,"High",G30&lt;26,"Very High"),"")</f>
        <v/>
      </c>
      <c r="J30" s="11"/>
      <c r="L30" s="11"/>
      <c r="M30"/>
      <c r="N30"/>
      <c r="O30"/>
      <c r="P30"/>
      <c r="Q30"/>
      <c r="R30"/>
      <c r="S30"/>
      <c r="T30"/>
      <c r="U30"/>
      <c r="V30"/>
      <c r="W30"/>
    </row>
    <row r="31" spans="3:23" s="3" customFormat="1" x14ac:dyDescent="0.25">
      <c r="C31" s="11"/>
      <c r="D31" s="11"/>
      <c r="G31" s="3" t="str">
        <f t="shared" si="2"/>
        <v/>
      </c>
      <c r="H31" s="3" t="str" cm="1">
        <f t="array" ref="H31">IFERROR(_xlfn.IFS(G31&lt;5,"Low",G31&lt;10,"Medium",G31&lt;16,"High",G31&lt;26,"Very High"),"")</f>
        <v/>
      </c>
      <c r="J31" s="11"/>
      <c r="L31" s="11"/>
      <c r="M31"/>
      <c r="N31"/>
      <c r="O31"/>
      <c r="P31"/>
      <c r="Q31"/>
      <c r="R31"/>
      <c r="S31"/>
      <c r="T31"/>
      <c r="U31"/>
      <c r="V31"/>
      <c r="W31"/>
    </row>
    <row r="32" spans="3:23" s="3" customFormat="1" x14ac:dyDescent="0.25">
      <c r="C32" s="11"/>
      <c r="D32" s="11"/>
      <c r="G32" s="3" t="str">
        <f t="shared" si="2"/>
        <v/>
      </c>
      <c r="H32" s="3" t="str" cm="1">
        <f t="array" ref="H32">IFERROR(_xlfn.IFS(G32&lt;5,"Low",G32&lt;10,"Medium",G32&lt;16,"High",G32&lt;26,"Very High"),"")</f>
        <v/>
      </c>
      <c r="J32" s="11"/>
      <c r="L32" s="11"/>
      <c r="M32"/>
      <c r="N32"/>
      <c r="O32"/>
      <c r="P32"/>
      <c r="Q32"/>
      <c r="R32"/>
      <c r="S32"/>
      <c r="T32"/>
      <c r="U32"/>
      <c r="V32"/>
      <c r="W32"/>
    </row>
    <row r="33" spans="3:23" s="3" customFormat="1" x14ac:dyDescent="0.25">
      <c r="C33" s="11"/>
      <c r="D33" s="11"/>
      <c r="G33" s="3" t="str">
        <f t="shared" si="2"/>
        <v/>
      </c>
      <c r="H33" s="3" t="str" cm="1">
        <f t="array" ref="H33">IFERROR(_xlfn.IFS(G33&lt;5,"Low",G33&lt;10,"Medium",G33&lt;16,"High",G33&lt;26,"Very High"),"")</f>
        <v/>
      </c>
      <c r="J33" s="11"/>
      <c r="L33" s="11"/>
      <c r="M33"/>
      <c r="N33"/>
      <c r="O33"/>
      <c r="P33"/>
      <c r="Q33"/>
      <c r="R33"/>
      <c r="S33"/>
      <c r="T33"/>
      <c r="U33"/>
      <c r="V33"/>
      <c r="W33"/>
    </row>
    <row r="34" spans="3:23" s="3" customFormat="1" x14ac:dyDescent="0.25">
      <c r="C34" s="11"/>
      <c r="D34" s="11"/>
      <c r="G34" s="3" t="str">
        <f t="shared" si="2"/>
        <v/>
      </c>
      <c r="H34" s="3" t="str" cm="1">
        <f t="array" ref="H34">IFERROR(_xlfn.IFS(G34&lt;5,"Low",G34&lt;10,"Medium",G34&lt;16,"High",G34&lt;26,"Very High"),"")</f>
        <v/>
      </c>
      <c r="J34" s="11"/>
      <c r="L34" s="11"/>
      <c r="M34"/>
      <c r="N34"/>
      <c r="O34"/>
      <c r="P34"/>
      <c r="Q34"/>
      <c r="R34"/>
      <c r="S34"/>
      <c r="T34"/>
      <c r="U34"/>
      <c r="V34"/>
      <c r="W34"/>
    </row>
    <row r="35" spans="3:23" s="3" customFormat="1" x14ac:dyDescent="0.25">
      <c r="C35" s="11"/>
      <c r="D35" s="11"/>
      <c r="G35" s="3" t="str">
        <f t="shared" si="2"/>
        <v/>
      </c>
      <c r="H35" s="3" t="str" cm="1">
        <f t="array" ref="H35">IFERROR(_xlfn.IFS(G35&lt;5,"Low",G35&lt;10,"Medium",G35&lt;16,"High",G35&lt;26,"Very High"),"")</f>
        <v/>
      </c>
      <c r="J35" s="11"/>
      <c r="L35" s="11"/>
      <c r="M35"/>
      <c r="N35"/>
      <c r="O35"/>
      <c r="P35"/>
      <c r="Q35"/>
      <c r="R35"/>
      <c r="S35"/>
      <c r="T35"/>
      <c r="U35"/>
      <c r="V35"/>
      <c r="W35"/>
    </row>
    <row r="36" spans="3:23" s="3" customFormat="1" x14ac:dyDescent="0.25">
      <c r="C36" s="11"/>
      <c r="D36" s="11"/>
      <c r="G36" s="3" t="str">
        <f t="shared" si="2"/>
        <v/>
      </c>
      <c r="H36" s="3" t="str" cm="1">
        <f t="array" ref="H36">IFERROR(_xlfn.IFS(G36&lt;5,"Low",G36&lt;10,"Medium",G36&lt;16,"High",G36&lt;26,"Very High"),"")</f>
        <v/>
      </c>
      <c r="J36" s="11"/>
      <c r="L36" s="11"/>
      <c r="M36"/>
      <c r="N36"/>
      <c r="O36"/>
      <c r="P36"/>
      <c r="Q36"/>
      <c r="R36"/>
      <c r="S36"/>
      <c r="T36"/>
      <c r="U36"/>
      <c r="V36"/>
      <c r="W36"/>
    </row>
    <row r="37" spans="3:23" s="3" customFormat="1" x14ac:dyDescent="0.25">
      <c r="C37" s="11"/>
      <c r="D37" s="11"/>
      <c r="G37" s="3" t="str">
        <f t="shared" si="2"/>
        <v/>
      </c>
      <c r="H37" s="3" t="str" cm="1">
        <f t="array" ref="H37">IFERROR(_xlfn.IFS(G37&lt;5,"Low",G37&lt;10,"Medium",G37&lt;16,"High",G37&lt;26,"Very High"),"")</f>
        <v/>
      </c>
      <c r="J37" s="11"/>
      <c r="L37" s="11"/>
      <c r="M37"/>
      <c r="N37"/>
      <c r="O37"/>
      <c r="P37"/>
      <c r="Q37"/>
      <c r="R37"/>
      <c r="S37"/>
      <c r="T37"/>
      <c r="U37"/>
      <c r="V37"/>
      <c r="W37"/>
    </row>
    <row r="38" spans="3:23" s="3" customFormat="1" x14ac:dyDescent="0.25">
      <c r="C38" s="11"/>
      <c r="D38" s="11"/>
      <c r="G38" s="3" t="str">
        <f t="shared" si="2"/>
        <v/>
      </c>
      <c r="H38" s="3" t="str" cm="1">
        <f t="array" ref="H38">IFERROR(_xlfn.IFS(G38&lt;5,"Low",G38&lt;10,"Medium",G38&lt;16,"High",G38&lt;26,"Very High"),"")</f>
        <v/>
      </c>
      <c r="J38" s="11"/>
      <c r="L38" s="11"/>
      <c r="M38"/>
      <c r="N38"/>
      <c r="O38"/>
      <c r="P38"/>
      <c r="Q38"/>
      <c r="R38"/>
      <c r="S38"/>
      <c r="T38"/>
      <c r="U38"/>
      <c r="V38"/>
      <c r="W38"/>
    </row>
    <row r="39" spans="3:23" s="3" customFormat="1" x14ac:dyDescent="0.25">
      <c r="C39" s="11"/>
      <c r="D39" s="11"/>
      <c r="G39" s="3" t="str">
        <f t="shared" si="2"/>
        <v/>
      </c>
      <c r="H39" s="3" t="str" cm="1">
        <f t="array" ref="H39">IFERROR(_xlfn.IFS(G39&lt;5,"Low",G39&lt;10,"Medium",G39&lt;16,"High",G39&lt;26,"Very High"),"")</f>
        <v/>
      </c>
      <c r="J39" s="11"/>
      <c r="L39" s="11"/>
      <c r="M39"/>
      <c r="N39"/>
      <c r="O39"/>
      <c r="P39"/>
      <c r="Q39"/>
      <c r="R39"/>
      <c r="S39"/>
      <c r="T39"/>
      <c r="U39"/>
      <c r="V39"/>
      <c r="W39"/>
    </row>
    <row r="40" spans="3:23" s="3" customFormat="1" x14ac:dyDescent="0.25">
      <c r="C40" s="11"/>
      <c r="D40" s="11"/>
      <c r="G40" s="3" t="str">
        <f t="shared" si="2"/>
        <v/>
      </c>
      <c r="H40" s="3" t="str" cm="1">
        <f t="array" ref="H40">IFERROR(_xlfn.IFS(G40&lt;5,"Low",G40&lt;10,"Medium",G40&lt;16,"High",G40&lt;26,"Very High"),"")</f>
        <v/>
      </c>
      <c r="J40" s="11"/>
      <c r="L40" s="11"/>
      <c r="M40"/>
      <c r="N40"/>
      <c r="O40"/>
      <c r="P40"/>
      <c r="Q40"/>
      <c r="R40"/>
      <c r="S40"/>
      <c r="T40"/>
      <c r="U40"/>
      <c r="V40"/>
      <c r="W40"/>
    </row>
    <row r="41" spans="3:23" s="3" customFormat="1" x14ac:dyDescent="0.25">
      <c r="C41" s="11"/>
      <c r="D41" s="11"/>
      <c r="G41" s="3" t="str">
        <f t="shared" si="2"/>
        <v/>
      </c>
      <c r="H41" s="3" t="str" cm="1">
        <f t="array" ref="H41">IFERROR(_xlfn.IFS(G41&lt;5,"Low",G41&lt;10,"Medium",G41&lt;16,"High",G41&lt;26,"Very High"),"")</f>
        <v/>
      </c>
      <c r="J41" s="11"/>
      <c r="L41" s="11"/>
      <c r="M41"/>
      <c r="N41"/>
      <c r="O41"/>
      <c r="P41"/>
      <c r="Q41"/>
      <c r="R41"/>
      <c r="S41"/>
      <c r="T41"/>
      <c r="U41"/>
      <c r="V41"/>
      <c r="W41"/>
    </row>
    <row r="42" spans="3:23" s="3" customFormat="1" x14ac:dyDescent="0.25">
      <c r="C42" s="11"/>
      <c r="D42" s="11"/>
      <c r="G42" s="3" t="str">
        <f t="shared" si="2"/>
        <v/>
      </c>
      <c r="H42" s="3" t="str" cm="1">
        <f t="array" ref="H42">IFERROR(_xlfn.IFS(G42&lt;5,"Low",G42&lt;10,"Medium",G42&lt;16,"High",G42&lt;26,"Very High"),"")</f>
        <v/>
      </c>
      <c r="J42" s="11"/>
      <c r="L42" s="11"/>
      <c r="M42"/>
      <c r="N42"/>
      <c r="O42"/>
      <c r="P42"/>
      <c r="Q42"/>
      <c r="R42"/>
      <c r="S42"/>
      <c r="T42"/>
      <c r="U42"/>
      <c r="V42"/>
      <c r="W42"/>
    </row>
    <row r="43" spans="3:23" s="3" customFormat="1" x14ac:dyDescent="0.25">
      <c r="C43" s="11"/>
      <c r="D43" s="11"/>
      <c r="G43" s="3" t="str">
        <f t="shared" si="2"/>
        <v/>
      </c>
      <c r="H43" s="3" t="str" cm="1">
        <f t="array" ref="H43">IFERROR(_xlfn.IFS(G43&lt;5,"Low",G43&lt;10,"Medium",G43&lt;16,"High",G43&lt;26,"Very High"),"")</f>
        <v/>
      </c>
      <c r="J43" s="11"/>
      <c r="L43" s="11"/>
      <c r="M43"/>
      <c r="N43"/>
      <c r="O43"/>
      <c r="P43"/>
      <c r="Q43"/>
      <c r="R43"/>
      <c r="S43"/>
      <c r="T43"/>
      <c r="U43"/>
      <c r="V43"/>
      <c r="W43"/>
    </row>
    <row r="44" spans="3:23" s="3" customFormat="1" x14ac:dyDescent="0.25">
      <c r="C44" s="11"/>
      <c r="D44" s="11"/>
      <c r="G44" s="3" t="str">
        <f t="shared" si="2"/>
        <v/>
      </c>
      <c r="H44" s="3" t="str" cm="1">
        <f t="array" ref="H44">IFERROR(_xlfn.IFS(G44&lt;5,"Low",G44&lt;10,"Medium",G44&lt;16,"High",G44&lt;26,"Very High"),"")</f>
        <v/>
      </c>
      <c r="J44" s="11"/>
      <c r="L44" s="11"/>
      <c r="M44"/>
      <c r="N44"/>
      <c r="O44"/>
      <c r="P44"/>
      <c r="Q44"/>
      <c r="R44"/>
      <c r="S44"/>
      <c r="T44"/>
      <c r="U44"/>
      <c r="V44"/>
      <c r="W44"/>
    </row>
    <row r="45" spans="3:23" s="3" customFormat="1" x14ac:dyDescent="0.25">
      <c r="C45" s="11"/>
      <c r="D45" s="11"/>
      <c r="G45" s="3" t="str">
        <f t="shared" si="2"/>
        <v/>
      </c>
      <c r="H45" s="3" t="str" cm="1">
        <f t="array" ref="H45">IFERROR(_xlfn.IFS(G45&lt;5,"Low",G45&lt;10,"Medium",G45&lt;16,"High",G45&lt;26,"Very High"),"")</f>
        <v/>
      </c>
      <c r="J45" s="11"/>
      <c r="L45" s="11"/>
      <c r="M45"/>
      <c r="N45"/>
      <c r="O45"/>
      <c r="P45"/>
      <c r="Q45"/>
      <c r="R45"/>
      <c r="S45"/>
      <c r="T45"/>
      <c r="U45"/>
      <c r="V45"/>
      <c r="W45"/>
    </row>
    <row r="46" spans="3:23" s="3" customFormat="1" x14ac:dyDescent="0.25">
      <c r="C46" s="11"/>
      <c r="D46" s="11"/>
      <c r="G46" s="3" t="str">
        <f t="shared" si="2"/>
        <v/>
      </c>
      <c r="H46" s="3" t="str" cm="1">
        <f t="array" ref="H46">IFERROR(_xlfn.IFS(G46&lt;5,"Low",G46&lt;10,"Medium",G46&lt;16,"High",G46&lt;26,"Very High"),"")</f>
        <v/>
      </c>
      <c r="J46" s="11"/>
      <c r="L46" s="11"/>
      <c r="M46"/>
      <c r="N46"/>
      <c r="O46"/>
      <c r="P46"/>
      <c r="Q46"/>
      <c r="R46"/>
      <c r="S46"/>
      <c r="T46"/>
      <c r="U46"/>
      <c r="V46"/>
      <c r="W46"/>
    </row>
    <row r="47" spans="3:23" s="3" customFormat="1" x14ac:dyDescent="0.25">
      <c r="C47" s="11"/>
      <c r="D47" s="11"/>
      <c r="G47" s="3" t="str">
        <f t="shared" si="2"/>
        <v/>
      </c>
      <c r="H47" s="3" t="str" cm="1">
        <f t="array" ref="H47">IFERROR(_xlfn.IFS(G47&lt;5,"Low",G47&lt;10,"Medium",G47&lt;16,"High",G47&lt;26,"Very High"),"")</f>
        <v/>
      </c>
      <c r="J47" s="11"/>
      <c r="L47" s="11"/>
      <c r="M47"/>
      <c r="N47"/>
      <c r="O47"/>
      <c r="P47"/>
      <c r="Q47"/>
      <c r="R47"/>
      <c r="S47"/>
      <c r="T47"/>
      <c r="U47"/>
      <c r="V47"/>
      <c r="W47"/>
    </row>
    <row r="48" spans="3:23" s="3" customFormat="1" x14ac:dyDescent="0.25">
      <c r="C48" s="11"/>
      <c r="D48" s="11"/>
      <c r="G48" s="3" t="str">
        <f t="shared" si="2"/>
        <v/>
      </c>
      <c r="H48" s="3" t="str" cm="1">
        <f t="array" ref="H48">IFERROR(_xlfn.IFS(G48&lt;5,"Low",G48&lt;10,"Medium",G48&lt;16,"High",G48&lt;26,"Very High"),"")</f>
        <v/>
      </c>
      <c r="J48" s="11"/>
      <c r="L48" s="11"/>
      <c r="M48"/>
      <c r="N48"/>
      <c r="O48"/>
      <c r="P48"/>
      <c r="Q48"/>
      <c r="R48"/>
      <c r="S48"/>
      <c r="T48"/>
      <c r="U48"/>
      <c r="V48"/>
      <c r="W48"/>
    </row>
    <row r="49" spans="3:23" s="3" customFormat="1" x14ac:dyDescent="0.25">
      <c r="C49" s="11"/>
      <c r="D49" s="11"/>
      <c r="G49" s="3" t="str">
        <f t="shared" si="2"/>
        <v/>
      </c>
      <c r="H49" s="3" t="str" cm="1">
        <f t="array" ref="H49">IFERROR(_xlfn.IFS(G49&lt;5,"Low",G49&lt;10,"Medium",G49&lt;16,"High",G49&lt;26,"Very High"),"")</f>
        <v/>
      </c>
      <c r="J49" s="11"/>
      <c r="L49" s="11"/>
      <c r="M49"/>
      <c r="N49"/>
      <c r="O49"/>
      <c r="P49"/>
      <c r="Q49"/>
      <c r="R49"/>
      <c r="S49"/>
      <c r="T49"/>
      <c r="U49"/>
      <c r="V49"/>
      <c r="W49"/>
    </row>
    <row r="50" spans="3:23" s="3" customFormat="1" x14ac:dyDescent="0.25">
      <c r="C50" s="11"/>
      <c r="D50" s="11"/>
      <c r="G50" s="3" t="str">
        <f t="shared" si="2"/>
        <v/>
      </c>
      <c r="H50" s="3" t="str" cm="1">
        <f t="array" ref="H50">IFERROR(_xlfn.IFS(G50&lt;5,"Low",G50&lt;10,"Medium",G50&lt;16,"High",G50&lt;26,"Very High"),"")</f>
        <v/>
      </c>
      <c r="J50" s="11"/>
      <c r="L50" s="11"/>
      <c r="M50"/>
      <c r="N50"/>
      <c r="O50"/>
      <c r="P50"/>
      <c r="Q50"/>
      <c r="R50"/>
      <c r="S50"/>
      <c r="T50"/>
      <c r="U50"/>
      <c r="V50"/>
      <c r="W50"/>
    </row>
    <row r="51" spans="3:23" s="3" customFormat="1" x14ac:dyDescent="0.25">
      <c r="C51" s="11"/>
      <c r="D51" s="11"/>
      <c r="G51" s="3" t="str">
        <f t="shared" si="2"/>
        <v/>
      </c>
      <c r="H51" s="3" t="str" cm="1">
        <f t="array" ref="H51">IFERROR(_xlfn.IFS(G51&lt;5,"Low",G51&lt;10,"Medium",G51&lt;16,"High",G51&lt;26,"Very High"),"")</f>
        <v/>
      </c>
      <c r="J51" s="11"/>
      <c r="L51" s="11"/>
      <c r="M51"/>
      <c r="N51"/>
      <c r="O51"/>
      <c r="P51"/>
      <c r="Q51"/>
      <c r="R51"/>
      <c r="S51"/>
      <c r="T51"/>
      <c r="U51"/>
      <c r="V51"/>
      <c r="W51"/>
    </row>
    <row r="52" spans="3:23" s="3" customFormat="1" x14ac:dyDescent="0.25">
      <c r="C52" s="11"/>
      <c r="D52" s="11"/>
      <c r="G52" s="3" t="str">
        <f t="shared" si="2"/>
        <v/>
      </c>
      <c r="H52" s="3" t="str" cm="1">
        <f t="array" ref="H52">IFERROR(_xlfn.IFS(G52&lt;5,"Low",G52&lt;10,"Medium",G52&lt;16,"High",G52&lt;26,"Very High"),"")</f>
        <v/>
      </c>
      <c r="J52" s="11"/>
      <c r="L52" s="11"/>
      <c r="M52"/>
      <c r="N52"/>
      <c r="O52"/>
      <c r="P52"/>
      <c r="Q52"/>
      <c r="R52"/>
      <c r="S52"/>
      <c r="T52"/>
      <c r="U52"/>
      <c r="V52"/>
      <c r="W52"/>
    </row>
    <row r="53" spans="3:23" s="3" customFormat="1" x14ac:dyDescent="0.25">
      <c r="C53" s="11"/>
      <c r="D53" s="11"/>
      <c r="G53" s="3" t="str">
        <f t="shared" si="2"/>
        <v/>
      </c>
      <c r="H53" s="3" t="str" cm="1">
        <f t="array" ref="H53">IFERROR(_xlfn.IFS(G53&lt;5,"Low",G53&lt;10,"Medium",G53&lt;16,"High",G53&lt;26,"Very High"),"")</f>
        <v/>
      </c>
      <c r="J53" s="11"/>
      <c r="L53" s="11"/>
      <c r="M53"/>
      <c r="N53"/>
      <c r="O53"/>
      <c r="P53"/>
      <c r="Q53"/>
      <c r="R53"/>
      <c r="S53"/>
      <c r="T53"/>
      <c r="U53"/>
      <c r="V53"/>
      <c r="W53"/>
    </row>
    <row r="54" spans="3:23" s="3" customFormat="1" x14ac:dyDescent="0.25">
      <c r="C54" s="11"/>
      <c r="D54" s="11"/>
      <c r="G54" s="3" t="str">
        <f t="shared" si="2"/>
        <v/>
      </c>
      <c r="H54" s="3" t="str" cm="1">
        <f t="array" ref="H54">IFERROR(_xlfn.IFS(G54&lt;5,"Low",G54&lt;10,"Medium",G54&lt;16,"High",G54&lt;26,"Very High"),"")</f>
        <v/>
      </c>
      <c r="J54" s="11"/>
      <c r="L54" s="11"/>
      <c r="M54"/>
      <c r="N54"/>
      <c r="O54"/>
      <c r="P54"/>
      <c r="Q54"/>
      <c r="R54"/>
      <c r="S54"/>
      <c r="T54"/>
      <c r="U54"/>
      <c r="V54"/>
      <c r="W54"/>
    </row>
    <row r="55" spans="3:23" s="3" customFormat="1" x14ac:dyDescent="0.25">
      <c r="C55" s="11"/>
      <c r="D55" s="11"/>
      <c r="G55" s="3" t="str">
        <f t="shared" si="2"/>
        <v/>
      </c>
      <c r="H55" s="3" t="str" cm="1">
        <f t="array" ref="H55">IFERROR(_xlfn.IFS(G55&lt;5,"Low",G55&lt;10,"Medium",G55&lt;16,"High",G55&lt;26,"Very High"),"")</f>
        <v/>
      </c>
      <c r="J55" s="11"/>
      <c r="L55" s="11"/>
      <c r="M55"/>
      <c r="N55"/>
      <c r="O55"/>
      <c r="P55"/>
      <c r="Q55"/>
      <c r="R55"/>
      <c r="S55"/>
      <c r="T55"/>
      <c r="U55"/>
      <c r="V55"/>
      <c r="W55"/>
    </row>
    <row r="56" spans="3:23" s="3" customFormat="1" x14ac:dyDescent="0.25">
      <c r="C56" s="11"/>
      <c r="D56" s="11"/>
      <c r="G56" s="3" t="str">
        <f t="shared" si="2"/>
        <v/>
      </c>
      <c r="H56" s="3" t="str" cm="1">
        <f t="array" ref="H56">IFERROR(_xlfn.IFS(G56&lt;5,"Low",G56&lt;10,"Medium",G56&lt;16,"High",G56&lt;26,"Very High"),"")</f>
        <v/>
      </c>
      <c r="J56" s="11"/>
      <c r="L56" s="11"/>
      <c r="M56"/>
      <c r="N56"/>
      <c r="O56"/>
      <c r="P56"/>
      <c r="Q56"/>
      <c r="R56"/>
      <c r="S56"/>
      <c r="T56"/>
      <c r="U56"/>
      <c r="V56"/>
      <c r="W56"/>
    </row>
    <row r="57" spans="3:23" s="3" customFormat="1" x14ac:dyDescent="0.25">
      <c r="C57" s="11"/>
      <c r="D57" s="11"/>
      <c r="G57" s="3" t="str">
        <f t="shared" si="2"/>
        <v/>
      </c>
      <c r="H57" s="3" t="str" cm="1">
        <f t="array" ref="H57">IFERROR(_xlfn.IFS(G57&lt;5,"Low",G57&lt;10,"Medium",G57&lt;16,"High",G57&lt;26,"Very High"),"")</f>
        <v/>
      </c>
      <c r="J57" s="11"/>
      <c r="L57" s="11"/>
      <c r="M57"/>
      <c r="N57"/>
      <c r="O57"/>
      <c r="P57"/>
      <c r="Q57"/>
      <c r="R57"/>
      <c r="S57"/>
      <c r="T57"/>
      <c r="U57"/>
      <c r="V57"/>
      <c r="W57"/>
    </row>
    <row r="58" spans="3:23" s="3" customFormat="1" x14ac:dyDescent="0.25">
      <c r="C58" s="11"/>
      <c r="D58" s="11"/>
      <c r="G58" s="3" t="str">
        <f t="shared" si="2"/>
        <v/>
      </c>
      <c r="H58" s="3" t="str" cm="1">
        <f t="array" ref="H58">IFERROR(_xlfn.IFS(G58&lt;5,"Low",G58&lt;10,"Medium",G58&lt;16,"High",G58&lt;26,"Very High"),"")</f>
        <v/>
      </c>
      <c r="J58" s="11"/>
      <c r="L58" s="11"/>
      <c r="M58"/>
      <c r="N58"/>
      <c r="O58"/>
      <c r="P58"/>
      <c r="Q58"/>
      <c r="R58"/>
      <c r="S58"/>
      <c r="T58"/>
      <c r="U58"/>
      <c r="V58"/>
      <c r="W58"/>
    </row>
    <row r="59" spans="3:23" s="3" customFormat="1" x14ac:dyDescent="0.25">
      <c r="C59" s="11"/>
      <c r="D59" s="11"/>
      <c r="G59" s="3" t="str">
        <f t="shared" si="2"/>
        <v/>
      </c>
      <c r="H59" s="3" t="str" cm="1">
        <f t="array" ref="H59">IFERROR(_xlfn.IFS(G59&lt;5,"Low",G59&lt;10,"Medium",G59&lt;16,"High",G59&lt;26,"Very High"),"")</f>
        <v/>
      </c>
      <c r="J59" s="11"/>
      <c r="L59" s="11"/>
      <c r="M59"/>
      <c r="N59"/>
      <c r="O59"/>
      <c r="P59"/>
      <c r="Q59"/>
      <c r="R59"/>
      <c r="S59"/>
      <c r="T59"/>
      <c r="U59"/>
      <c r="V59"/>
      <c r="W59"/>
    </row>
    <row r="60" spans="3:23" s="3" customFormat="1" x14ac:dyDescent="0.25">
      <c r="C60" s="11"/>
      <c r="D60" s="11"/>
      <c r="G60" s="3" t="str">
        <f t="shared" si="2"/>
        <v/>
      </c>
      <c r="H60" s="3" t="str" cm="1">
        <f t="array" ref="H60">IFERROR(_xlfn.IFS(G60&lt;5,"Low",G60&lt;10,"Medium",G60&lt;16,"High",G60&lt;26,"Very High"),"")</f>
        <v/>
      </c>
      <c r="J60" s="11"/>
      <c r="L60" s="11"/>
      <c r="M60"/>
      <c r="N60"/>
      <c r="O60"/>
      <c r="P60"/>
      <c r="Q60"/>
      <c r="R60"/>
      <c r="S60"/>
      <c r="T60"/>
      <c r="U60"/>
      <c r="V60"/>
      <c r="W60"/>
    </row>
    <row r="61" spans="3:23" s="3" customFormat="1" x14ac:dyDescent="0.25">
      <c r="C61" s="11"/>
      <c r="D61" s="11"/>
      <c r="G61" s="3" t="str">
        <f t="shared" si="2"/>
        <v/>
      </c>
      <c r="H61" s="3" t="str" cm="1">
        <f t="array" ref="H61">IFERROR(_xlfn.IFS(G61&lt;5,"Low",G61&lt;10,"Medium",G61&lt;16,"High",G61&lt;26,"Very High"),"")</f>
        <v/>
      </c>
      <c r="J61" s="11"/>
      <c r="L61" s="11"/>
      <c r="M61"/>
      <c r="N61"/>
      <c r="O61"/>
      <c r="P61"/>
      <c r="Q61"/>
      <c r="R61"/>
      <c r="S61"/>
      <c r="T61"/>
      <c r="U61"/>
      <c r="V61"/>
      <c r="W61"/>
    </row>
    <row r="62" spans="3:23" s="3" customFormat="1" x14ac:dyDescent="0.25">
      <c r="C62" s="11"/>
      <c r="D62" s="11"/>
      <c r="G62" s="3" t="str">
        <f t="shared" si="2"/>
        <v/>
      </c>
      <c r="H62" s="3" t="str" cm="1">
        <f t="array" ref="H62">IFERROR(_xlfn.IFS(G62&lt;5,"Low",G62&lt;10,"Medium",G62&lt;16,"High",G62&lt;26,"Very High"),"")</f>
        <v/>
      </c>
      <c r="J62" s="11"/>
      <c r="L62" s="11"/>
      <c r="M62"/>
      <c r="N62"/>
      <c r="O62"/>
      <c r="P62"/>
      <c r="Q62"/>
      <c r="R62"/>
      <c r="S62"/>
      <c r="T62"/>
      <c r="U62"/>
      <c r="V62"/>
      <c r="W62"/>
    </row>
    <row r="63" spans="3:23" s="3" customFormat="1" x14ac:dyDescent="0.25">
      <c r="C63" s="11"/>
      <c r="D63" s="11"/>
      <c r="G63" s="3" t="str">
        <f t="shared" si="2"/>
        <v/>
      </c>
      <c r="H63" s="3" t="str" cm="1">
        <f t="array" ref="H63">IFERROR(_xlfn.IFS(G63&lt;5,"Low",G63&lt;10,"Medium",G63&lt;16,"High",G63&lt;26,"Very High"),"")</f>
        <v/>
      </c>
      <c r="J63" s="11"/>
      <c r="L63" s="11"/>
      <c r="M63"/>
      <c r="N63"/>
      <c r="O63"/>
      <c r="P63"/>
      <c r="Q63"/>
      <c r="R63"/>
      <c r="S63"/>
      <c r="T63"/>
      <c r="U63"/>
      <c r="V63"/>
      <c r="W63"/>
    </row>
    <row r="64" spans="3:23" s="3" customFormat="1" x14ac:dyDescent="0.25">
      <c r="C64" s="11"/>
      <c r="D64" s="11"/>
      <c r="G64" s="3" t="str">
        <f t="shared" si="2"/>
        <v/>
      </c>
      <c r="H64" s="3" t="str" cm="1">
        <f t="array" ref="H64">IFERROR(_xlfn.IFS(G64&lt;5,"Low",G64&lt;10,"Medium",G64&lt;16,"High",G64&lt;26,"Very High"),"")</f>
        <v/>
      </c>
      <c r="J64" s="11"/>
      <c r="L64" s="11"/>
      <c r="M64"/>
      <c r="N64"/>
      <c r="O64"/>
      <c r="P64"/>
      <c r="Q64"/>
      <c r="R64"/>
      <c r="S64"/>
      <c r="T64"/>
      <c r="U64"/>
      <c r="V64"/>
      <c r="W64"/>
    </row>
    <row r="65" spans="3:23" s="3" customFormat="1" x14ac:dyDescent="0.25">
      <c r="C65" s="11"/>
      <c r="D65" s="11"/>
      <c r="G65" s="3" t="str">
        <f t="shared" si="2"/>
        <v/>
      </c>
      <c r="H65" s="3" t="str" cm="1">
        <f t="array" ref="H65">IFERROR(_xlfn.IFS(G65&lt;5,"Low",G65&lt;10,"Medium",G65&lt;16,"High",G65&lt;26,"Very High"),"")</f>
        <v/>
      </c>
      <c r="J65" s="11"/>
      <c r="L65" s="11"/>
      <c r="M65"/>
      <c r="N65"/>
      <c r="O65"/>
      <c r="P65"/>
      <c r="Q65"/>
      <c r="R65"/>
      <c r="S65"/>
      <c r="T65"/>
      <c r="U65"/>
      <c r="V65"/>
      <c r="W65"/>
    </row>
    <row r="66" spans="3:23" s="3" customFormat="1" x14ac:dyDescent="0.25">
      <c r="C66" s="11"/>
      <c r="D66" s="11"/>
      <c r="G66" s="3" t="str">
        <f t="shared" si="2"/>
        <v/>
      </c>
      <c r="H66" s="3" t="str" cm="1">
        <f t="array" ref="H66">IFERROR(_xlfn.IFS(G66&lt;5,"Low",G66&lt;10,"Medium",G66&lt;16,"High",G66&lt;26,"Very High"),"")</f>
        <v/>
      </c>
      <c r="J66" s="11"/>
      <c r="L66" s="11"/>
      <c r="M66"/>
      <c r="N66"/>
      <c r="O66"/>
      <c r="P66"/>
      <c r="Q66"/>
      <c r="R66"/>
      <c r="S66"/>
      <c r="T66"/>
      <c r="U66"/>
      <c r="V66"/>
      <c r="W66"/>
    </row>
    <row r="67" spans="3:23" s="3" customFormat="1" x14ac:dyDescent="0.25">
      <c r="C67" s="11"/>
      <c r="D67" s="11"/>
      <c r="G67" s="3" t="str">
        <f t="shared" si="2"/>
        <v/>
      </c>
      <c r="H67" s="3" t="str" cm="1">
        <f t="array" ref="H67">IFERROR(_xlfn.IFS(G67&lt;5,"Low",G67&lt;10,"Medium",G67&lt;16,"High",G67&lt;26,"Very High"),"")</f>
        <v/>
      </c>
      <c r="J67" s="11"/>
      <c r="L67" s="11"/>
      <c r="M67"/>
      <c r="N67"/>
      <c r="O67"/>
      <c r="P67"/>
      <c r="Q67"/>
      <c r="R67"/>
      <c r="S67"/>
      <c r="T67"/>
      <c r="U67"/>
      <c r="V67"/>
      <c r="W67"/>
    </row>
    <row r="68" spans="3:23" s="3" customFormat="1" x14ac:dyDescent="0.25">
      <c r="C68" s="11"/>
      <c r="D68" s="11"/>
      <c r="G68" s="3" t="str">
        <f t="shared" si="2"/>
        <v/>
      </c>
      <c r="H68" s="3" t="str" cm="1">
        <f t="array" ref="H68">IFERROR(_xlfn.IFS(G68&lt;5,"Low",G68&lt;10,"Medium",G68&lt;16,"High",G68&lt;26,"Very High"),"")</f>
        <v/>
      </c>
      <c r="J68" s="11"/>
      <c r="L68" s="11"/>
      <c r="M68"/>
      <c r="N68"/>
      <c r="O68"/>
      <c r="P68"/>
      <c r="Q68"/>
      <c r="R68"/>
      <c r="S68"/>
      <c r="T68"/>
      <c r="U68"/>
      <c r="V68"/>
      <c r="W68"/>
    </row>
    <row r="69" spans="3:23" s="3" customFormat="1" x14ac:dyDescent="0.25">
      <c r="C69" s="11"/>
      <c r="D69" s="11"/>
      <c r="G69" s="3" t="str">
        <f t="shared" si="2"/>
        <v/>
      </c>
      <c r="H69" s="3" t="str" cm="1">
        <f t="array" ref="H69">IFERROR(_xlfn.IFS(G69&lt;5,"Low",G69&lt;10,"Medium",G69&lt;16,"High",G69&lt;26,"Very High"),"")</f>
        <v/>
      </c>
      <c r="J69" s="11"/>
      <c r="L69" s="11"/>
      <c r="M69"/>
      <c r="N69"/>
      <c r="O69"/>
      <c r="P69"/>
      <c r="Q69"/>
      <c r="R69"/>
      <c r="S69"/>
      <c r="T69"/>
      <c r="U69"/>
      <c r="V69"/>
      <c r="W69"/>
    </row>
    <row r="70" spans="3:23" s="3" customFormat="1" x14ac:dyDescent="0.25">
      <c r="C70" s="11"/>
      <c r="D70" s="11"/>
      <c r="G70" s="3" t="str">
        <f t="shared" si="2"/>
        <v/>
      </c>
      <c r="H70" s="3" t="str" cm="1">
        <f t="array" ref="H70">IFERROR(_xlfn.IFS(G70&lt;5,"Low",G70&lt;10,"Medium",G70&lt;16,"High",G70&lt;26,"Very High"),"")</f>
        <v/>
      </c>
      <c r="J70" s="11"/>
      <c r="L70" s="11"/>
      <c r="M70"/>
      <c r="N70"/>
      <c r="O70"/>
      <c r="P70"/>
      <c r="Q70"/>
      <c r="R70"/>
      <c r="S70"/>
      <c r="T70"/>
      <c r="U70"/>
      <c r="V70"/>
      <c r="W70"/>
    </row>
    <row r="71" spans="3:23" s="3" customFormat="1" x14ac:dyDescent="0.25">
      <c r="C71" s="11"/>
      <c r="D71" s="11"/>
      <c r="G71" s="3" t="str">
        <f t="shared" si="2"/>
        <v/>
      </c>
      <c r="H71" s="3" t="str" cm="1">
        <f t="array" ref="H71">IFERROR(_xlfn.IFS(G71&lt;5,"Low",G71&lt;10,"Medium",G71&lt;16,"High",G71&lt;26,"Very High"),"")</f>
        <v/>
      </c>
      <c r="J71" s="11"/>
      <c r="L71" s="11"/>
      <c r="M71"/>
      <c r="N71"/>
      <c r="O71"/>
      <c r="P71"/>
      <c r="Q71"/>
      <c r="R71"/>
      <c r="S71"/>
      <c r="T71"/>
      <c r="U71"/>
      <c r="V71"/>
      <c r="W71"/>
    </row>
    <row r="72" spans="3:23" s="3" customFormat="1" x14ac:dyDescent="0.25">
      <c r="C72" s="11"/>
      <c r="D72" s="11"/>
      <c r="G72" s="3" t="str">
        <f t="shared" si="2"/>
        <v/>
      </c>
      <c r="H72" s="3" t="str" cm="1">
        <f t="array" ref="H72">IFERROR(_xlfn.IFS(G72&lt;5,"Low",G72&lt;10,"Medium",G72&lt;16,"High",G72&lt;26,"Very High"),"")</f>
        <v/>
      </c>
      <c r="J72" s="11"/>
      <c r="L72" s="11"/>
      <c r="M72"/>
      <c r="N72"/>
      <c r="O72"/>
      <c r="P72"/>
      <c r="Q72"/>
      <c r="R72"/>
      <c r="S72"/>
      <c r="T72"/>
      <c r="U72"/>
      <c r="V72"/>
      <c r="W72"/>
    </row>
    <row r="73" spans="3:23" s="3" customFormat="1" x14ac:dyDescent="0.25">
      <c r="C73" s="11"/>
      <c r="D73" s="11"/>
      <c r="G73" s="3" t="str">
        <f t="shared" si="2"/>
        <v/>
      </c>
      <c r="H73" s="3" t="str" cm="1">
        <f t="array" ref="H73">IFERROR(_xlfn.IFS(G73&lt;5,"Low",G73&lt;10,"Medium",G73&lt;16,"High",G73&lt;26,"Very High"),"")</f>
        <v/>
      </c>
      <c r="J73" s="11"/>
      <c r="L73" s="11"/>
      <c r="M73"/>
      <c r="N73"/>
      <c r="O73"/>
      <c r="P73"/>
      <c r="Q73"/>
      <c r="R73"/>
      <c r="S73"/>
      <c r="T73"/>
      <c r="U73"/>
      <c r="V73"/>
      <c r="W73"/>
    </row>
    <row r="74" spans="3:23" s="3" customFormat="1" x14ac:dyDescent="0.25">
      <c r="C74" s="11"/>
      <c r="D74" s="11"/>
      <c r="G74" s="3" t="str">
        <f t="shared" si="2"/>
        <v/>
      </c>
      <c r="H74" s="3" t="str" cm="1">
        <f t="array" ref="H74">IFERROR(_xlfn.IFS(G74&lt;5,"Low",G74&lt;10,"Medium",G74&lt;16,"High",G74&lt;26,"Very High"),"")</f>
        <v/>
      </c>
      <c r="J74" s="11"/>
      <c r="L74" s="11"/>
      <c r="M74"/>
      <c r="N74"/>
      <c r="O74"/>
      <c r="P74"/>
      <c r="Q74"/>
      <c r="R74"/>
      <c r="S74"/>
      <c r="T74"/>
      <c r="U74"/>
      <c r="V74"/>
      <c r="W74"/>
    </row>
    <row r="75" spans="3:23" s="3" customFormat="1" x14ac:dyDescent="0.25">
      <c r="C75" s="11"/>
      <c r="D75" s="11"/>
      <c r="G75" s="3" t="str">
        <f t="shared" si="2"/>
        <v/>
      </c>
      <c r="H75" s="3" t="str" cm="1">
        <f t="array" ref="H75">IFERROR(_xlfn.IFS(G75&lt;5,"Low",G75&lt;10,"Medium",G75&lt;16,"High",G75&lt;26,"Very High"),"")</f>
        <v/>
      </c>
      <c r="J75" s="11"/>
      <c r="L75" s="11"/>
      <c r="M75"/>
      <c r="N75"/>
      <c r="O75"/>
      <c r="P75"/>
      <c r="Q75"/>
      <c r="R75"/>
      <c r="S75"/>
      <c r="T75"/>
      <c r="U75"/>
      <c r="V75"/>
      <c r="W75"/>
    </row>
    <row r="76" spans="3:23" s="3" customFormat="1" x14ac:dyDescent="0.25">
      <c r="C76" s="11"/>
      <c r="D76" s="11"/>
      <c r="G76" s="3" t="str">
        <f t="shared" si="2"/>
        <v/>
      </c>
      <c r="H76" s="3" t="str" cm="1">
        <f t="array" ref="H76">IFERROR(_xlfn.IFS(G76&lt;5,"Low",G76&lt;10,"Medium",G76&lt;16,"High",G76&lt;26,"Very High"),"")</f>
        <v/>
      </c>
      <c r="J76" s="11"/>
      <c r="L76" s="11"/>
      <c r="M76"/>
      <c r="N76"/>
      <c r="O76"/>
      <c r="P76"/>
      <c r="Q76"/>
      <c r="R76"/>
      <c r="S76"/>
      <c r="T76"/>
      <c r="U76"/>
      <c r="V76"/>
      <c r="W76"/>
    </row>
    <row r="77" spans="3:23" s="3" customFormat="1" x14ac:dyDescent="0.25">
      <c r="C77" s="11"/>
      <c r="D77" s="11"/>
      <c r="G77" s="3" t="str">
        <f t="shared" si="2"/>
        <v/>
      </c>
      <c r="H77" s="3" t="str" cm="1">
        <f t="array" ref="H77">IFERROR(_xlfn.IFS(G77&lt;5,"Low",G77&lt;10,"Medium",G77&lt;16,"High",G77&lt;26,"Very High"),"")</f>
        <v/>
      </c>
      <c r="J77" s="11"/>
      <c r="L77" s="11"/>
      <c r="M77"/>
      <c r="N77"/>
      <c r="O77"/>
      <c r="P77"/>
      <c r="Q77"/>
      <c r="R77"/>
      <c r="S77"/>
      <c r="T77"/>
      <c r="U77"/>
      <c r="V77"/>
      <c r="W77"/>
    </row>
    <row r="78" spans="3:23" s="3" customFormat="1" x14ac:dyDescent="0.25">
      <c r="C78" s="11"/>
      <c r="D78" s="11"/>
      <c r="G78" s="3" t="str">
        <f t="shared" si="2"/>
        <v/>
      </c>
      <c r="H78" s="3" t="str" cm="1">
        <f t="array" ref="H78">IFERROR(_xlfn.IFS(G78&lt;5,"Low",G78&lt;10,"Medium",G78&lt;16,"High",G78&lt;26,"Very High"),"")</f>
        <v/>
      </c>
      <c r="J78" s="11"/>
      <c r="L78" s="11"/>
      <c r="M78"/>
      <c r="N78"/>
      <c r="O78"/>
      <c r="P78"/>
      <c r="Q78"/>
      <c r="R78"/>
      <c r="S78"/>
      <c r="T78"/>
      <c r="U78"/>
      <c r="V78"/>
      <c r="W78"/>
    </row>
    <row r="79" spans="3:23" s="3" customFormat="1" x14ac:dyDescent="0.25">
      <c r="C79" s="11"/>
      <c r="D79" s="11"/>
      <c r="G79" s="3" t="str">
        <f t="shared" si="2"/>
        <v/>
      </c>
      <c r="H79" s="3" t="str" cm="1">
        <f t="array" ref="H79">IFERROR(_xlfn.IFS(G79&lt;5,"Low",G79&lt;10,"Medium",G79&lt;16,"High",G79&lt;26,"Very High"),"")</f>
        <v/>
      </c>
      <c r="J79" s="11"/>
      <c r="L79" s="11"/>
      <c r="M79"/>
      <c r="N79"/>
      <c r="O79"/>
      <c r="P79"/>
      <c r="Q79"/>
      <c r="R79"/>
      <c r="S79"/>
      <c r="T79"/>
      <c r="U79"/>
      <c r="V79"/>
      <c r="W79"/>
    </row>
    <row r="80" spans="3:23" s="3" customFormat="1" x14ac:dyDescent="0.25">
      <c r="C80" s="11"/>
      <c r="D80" s="11"/>
      <c r="G80" s="3" t="str">
        <f t="shared" si="2"/>
        <v/>
      </c>
      <c r="H80" s="3" t="str" cm="1">
        <f t="array" ref="H80">IFERROR(_xlfn.IFS(G80&lt;5,"Low",G80&lt;10,"Medium",G80&lt;16,"High",G80&lt;26,"Very High"),"")</f>
        <v/>
      </c>
      <c r="J80" s="11"/>
      <c r="L80" s="11"/>
      <c r="M80"/>
      <c r="N80"/>
      <c r="O80"/>
      <c r="P80"/>
      <c r="Q80"/>
      <c r="R80"/>
      <c r="S80"/>
      <c r="T80"/>
      <c r="U80"/>
      <c r="V80"/>
      <c r="W80"/>
    </row>
    <row r="81" spans="3:23" s="3" customFormat="1" x14ac:dyDescent="0.25">
      <c r="C81" s="11"/>
      <c r="D81" s="11"/>
      <c r="G81" s="3" t="str">
        <f t="shared" si="2"/>
        <v/>
      </c>
      <c r="H81" s="3" t="str" cm="1">
        <f t="array" ref="H81">IFERROR(_xlfn.IFS(G81&lt;5,"Low",G81&lt;10,"Medium",G81&lt;16,"High",G81&lt;26,"Very High"),"")</f>
        <v/>
      </c>
      <c r="J81" s="11"/>
      <c r="L81" s="11"/>
      <c r="M81"/>
      <c r="N81"/>
      <c r="O81"/>
      <c r="P81"/>
      <c r="Q81"/>
      <c r="R81"/>
      <c r="S81"/>
      <c r="T81"/>
      <c r="U81"/>
      <c r="V81"/>
      <c r="W81"/>
    </row>
    <row r="82" spans="3:23" s="3" customFormat="1" x14ac:dyDescent="0.25">
      <c r="C82" s="11"/>
      <c r="D82" s="11"/>
      <c r="G82" s="3" t="str">
        <f t="shared" si="2"/>
        <v/>
      </c>
      <c r="H82" s="3" t="str" cm="1">
        <f t="array" ref="H82">IFERROR(_xlfn.IFS(G82&lt;5,"Low",G82&lt;10,"Medium",G82&lt;16,"High",G82&lt;26,"Very High"),"")</f>
        <v/>
      </c>
      <c r="J82" s="11"/>
      <c r="L82" s="11"/>
      <c r="M82"/>
      <c r="N82"/>
      <c r="O82"/>
      <c r="P82"/>
      <c r="Q82"/>
      <c r="R82"/>
      <c r="S82"/>
      <c r="T82"/>
      <c r="U82"/>
      <c r="V82"/>
      <c r="W82"/>
    </row>
    <row r="83" spans="3:23" s="3" customFormat="1" x14ac:dyDescent="0.25">
      <c r="C83" s="11"/>
      <c r="D83" s="11"/>
      <c r="G83" s="3" t="str">
        <f t="shared" si="2"/>
        <v/>
      </c>
      <c r="H83" s="3" t="str" cm="1">
        <f t="array" ref="H83">IFERROR(_xlfn.IFS(G83&lt;5,"Low",G83&lt;10,"Medium",G83&lt;16,"High",G83&lt;26,"Very High"),"")</f>
        <v/>
      </c>
      <c r="J83" s="11"/>
      <c r="L83" s="11"/>
      <c r="M83"/>
      <c r="N83"/>
      <c r="O83"/>
      <c r="P83"/>
      <c r="Q83"/>
      <c r="R83"/>
      <c r="S83"/>
      <c r="T83"/>
      <c r="U83"/>
      <c r="V83"/>
      <c r="W83"/>
    </row>
    <row r="84" spans="3:23" s="3" customFormat="1" x14ac:dyDescent="0.25">
      <c r="C84" s="11"/>
      <c r="D84" s="11"/>
      <c r="G84" s="3" t="str">
        <f t="shared" si="2"/>
        <v/>
      </c>
      <c r="H84" s="3" t="str" cm="1">
        <f t="array" ref="H84">IFERROR(_xlfn.IFS(G84&lt;5,"Low",G84&lt;10,"Medium",G84&lt;16,"High",G84&lt;26,"Very High"),"")</f>
        <v/>
      </c>
      <c r="J84" s="11"/>
      <c r="L84" s="11"/>
      <c r="M84"/>
      <c r="N84"/>
      <c r="O84"/>
      <c r="P84"/>
      <c r="Q84"/>
      <c r="R84"/>
      <c r="S84"/>
      <c r="T84"/>
      <c r="U84"/>
      <c r="V84"/>
      <c r="W84"/>
    </row>
    <row r="85" spans="3:23" s="3" customFormat="1" x14ac:dyDescent="0.25">
      <c r="C85" s="11"/>
      <c r="D85" s="11"/>
      <c r="G85" s="3" t="str">
        <f t="shared" si="2"/>
        <v/>
      </c>
      <c r="H85" s="3" t="str" cm="1">
        <f t="array" ref="H85">IFERROR(_xlfn.IFS(G85&lt;5,"Low",G85&lt;10,"Medium",G85&lt;16,"High",G85&lt;26,"Very High"),"")</f>
        <v/>
      </c>
      <c r="J85" s="11"/>
      <c r="L85" s="11"/>
      <c r="M85"/>
      <c r="N85"/>
      <c r="O85"/>
      <c r="P85"/>
      <c r="Q85"/>
      <c r="R85"/>
      <c r="S85"/>
      <c r="T85"/>
      <c r="U85"/>
      <c r="V85"/>
      <c r="W85"/>
    </row>
    <row r="86" spans="3:23" s="3" customFormat="1" x14ac:dyDescent="0.25">
      <c r="C86" s="11"/>
      <c r="D86" s="11"/>
      <c r="G86" s="3" t="str">
        <f t="shared" si="2"/>
        <v/>
      </c>
      <c r="H86" s="3" t="str" cm="1">
        <f t="array" ref="H86">IFERROR(_xlfn.IFS(G86&lt;5,"Low",G86&lt;10,"Medium",G86&lt;16,"High",G86&lt;26,"Very High"),"")</f>
        <v/>
      </c>
      <c r="J86" s="11"/>
      <c r="L86" s="11"/>
      <c r="M86"/>
      <c r="N86"/>
      <c r="O86"/>
      <c r="P86"/>
      <c r="Q86"/>
      <c r="R86"/>
      <c r="S86"/>
      <c r="T86"/>
      <c r="U86"/>
      <c r="V86"/>
      <c r="W86"/>
    </row>
    <row r="87" spans="3:23" s="3" customFormat="1" x14ac:dyDescent="0.25">
      <c r="C87" s="11"/>
      <c r="D87" s="11"/>
      <c r="G87" s="3" t="str">
        <f t="shared" si="2"/>
        <v/>
      </c>
      <c r="H87" s="3" t="str" cm="1">
        <f t="array" ref="H87">IFERROR(_xlfn.IFS(G87&lt;5,"Low",G87&lt;10,"Medium",G87&lt;16,"High",G87&lt;26,"Very High"),"")</f>
        <v/>
      </c>
      <c r="J87" s="11"/>
      <c r="L87" s="11"/>
      <c r="M87"/>
      <c r="N87"/>
      <c r="O87"/>
      <c r="P87"/>
      <c r="Q87"/>
      <c r="R87"/>
      <c r="S87"/>
      <c r="T87"/>
      <c r="U87"/>
      <c r="V87"/>
      <c r="W87"/>
    </row>
    <row r="88" spans="3:23" s="3" customFormat="1" x14ac:dyDescent="0.25">
      <c r="C88" s="11"/>
      <c r="D88" s="11"/>
      <c r="G88" s="3" t="str">
        <f t="shared" si="2"/>
        <v/>
      </c>
      <c r="H88" s="3" t="str" cm="1">
        <f t="array" ref="H88">IFERROR(_xlfn.IFS(G88&lt;5,"Low",G88&lt;10,"Medium",G88&lt;16,"High",G88&lt;26,"Very High"),"")</f>
        <v/>
      </c>
      <c r="J88" s="11"/>
      <c r="L88" s="11"/>
      <c r="M88"/>
      <c r="N88"/>
      <c r="O88"/>
      <c r="P88"/>
      <c r="Q88"/>
      <c r="R88"/>
      <c r="S88"/>
      <c r="T88"/>
      <c r="U88"/>
      <c r="V88"/>
      <c r="W88"/>
    </row>
    <row r="89" spans="3:23" s="3" customFormat="1" x14ac:dyDescent="0.25">
      <c r="C89" s="11"/>
      <c r="D89" s="11"/>
      <c r="G89" s="3" t="str">
        <f t="shared" si="2"/>
        <v/>
      </c>
      <c r="H89" s="3" t="str" cm="1">
        <f t="array" ref="H89">IFERROR(_xlfn.IFS(G89&lt;5,"Low",G89&lt;10,"Medium",G89&lt;16,"High",G89&lt;26,"Very High"),"")</f>
        <v/>
      </c>
      <c r="J89" s="11"/>
      <c r="L89" s="11"/>
      <c r="M89"/>
      <c r="N89"/>
      <c r="O89"/>
      <c r="P89"/>
      <c r="Q89"/>
      <c r="R89"/>
      <c r="S89"/>
      <c r="T89"/>
      <c r="U89"/>
      <c r="V89"/>
      <c r="W89"/>
    </row>
    <row r="90" spans="3:23" s="3" customFormat="1" x14ac:dyDescent="0.25">
      <c r="C90" s="11"/>
      <c r="D90" s="11"/>
      <c r="G90" s="3" t="str">
        <f t="shared" si="2"/>
        <v/>
      </c>
      <c r="H90" s="3" t="str" cm="1">
        <f t="array" ref="H90">IFERROR(_xlfn.IFS(G90&lt;5,"Low",G90&lt;10,"Medium",G90&lt;16,"High",G90&lt;26,"Very High"),"")</f>
        <v/>
      </c>
      <c r="J90" s="11"/>
      <c r="L90" s="11"/>
      <c r="M90"/>
      <c r="N90"/>
      <c r="O90"/>
      <c r="P90"/>
      <c r="Q90"/>
      <c r="R90"/>
      <c r="S90"/>
      <c r="T90"/>
      <c r="U90"/>
      <c r="V90"/>
      <c r="W90"/>
    </row>
    <row r="91" spans="3:23" s="3" customFormat="1" x14ac:dyDescent="0.25">
      <c r="C91" s="11"/>
      <c r="D91" s="11"/>
      <c r="G91" s="3" t="str">
        <f t="shared" ref="G91:G123" si="3">IF(E91*F91&gt;0,E91*F91,"")</f>
        <v/>
      </c>
      <c r="H91" s="3" t="str" cm="1">
        <f t="array" ref="H91">IFERROR(_xlfn.IFS(G91&lt;5,"Low",G91&lt;10,"Medium",G91&lt;16,"High",G91&lt;26,"Very High"),"")</f>
        <v/>
      </c>
      <c r="J91" s="11"/>
      <c r="L91" s="11"/>
      <c r="M91"/>
      <c r="N91"/>
      <c r="O91"/>
      <c r="P91"/>
      <c r="Q91"/>
      <c r="R91"/>
      <c r="S91"/>
      <c r="T91"/>
      <c r="U91"/>
      <c r="V91"/>
      <c r="W91"/>
    </row>
    <row r="92" spans="3:23" s="3" customFormat="1" x14ac:dyDescent="0.25">
      <c r="C92" s="11"/>
      <c r="D92" s="11"/>
      <c r="G92" s="3" t="str">
        <f t="shared" si="3"/>
        <v/>
      </c>
      <c r="H92" s="3" t="str" cm="1">
        <f t="array" ref="H92">IFERROR(_xlfn.IFS(G92&lt;5,"Low",G92&lt;10,"Medium",G92&lt;16,"High",G92&lt;26,"Very High"),"")</f>
        <v/>
      </c>
      <c r="J92" s="11"/>
      <c r="L92" s="11"/>
      <c r="M92"/>
      <c r="N92"/>
      <c r="O92"/>
      <c r="P92"/>
      <c r="Q92"/>
      <c r="R92"/>
      <c r="S92"/>
      <c r="T92"/>
      <c r="U92"/>
      <c r="V92"/>
      <c r="W92"/>
    </row>
    <row r="93" spans="3:23" s="3" customFormat="1" x14ac:dyDescent="0.25">
      <c r="C93" s="11"/>
      <c r="D93" s="11"/>
      <c r="G93" s="3" t="str">
        <f t="shared" si="3"/>
        <v/>
      </c>
      <c r="H93" s="3" t="str" cm="1">
        <f t="array" ref="H93">IFERROR(_xlfn.IFS(G93&lt;5,"Low",G93&lt;10,"Medium",G93&lt;16,"High",G93&lt;26,"Very High"),"")</f>
        <v/>
      </c>
      <c r="J93" s="11"/>
      <c r="L93" s="11"/>
      <c r="M93"/>
      <c r="N93"/>
      <c r="O93"/>
      <c r="P93"/>
      <c r="Q93"/>
      <c r="R93"/>
      <c r="S93"/>
      <c r="T93"/>
      <c r="U93"/>
      <c r="V93"/>
      <c r="W93"/>
    </row>
    <row r="94" spans="3:23" s="3" customFormat="1" x14ac:dyDescent="0.25">
      <c r="C94" s="11"/>
      <c r="D94" s="11"/>
      <c r="G94" s="3" t="str">
        <f t="shared" si="3"/>
        <v/>
      </c>
      <c r="H94" s="3" t="str" cm="1">
        <f t="array" ref="H94">IFERROR(_xlfn.IFS(G94&lt;5,"Low",G94&lt;10,"Medium",G94&lt;16,"High",G94&lt;26,"Very High"),"")</f>
        <v/>
      </c>
      <c r="J94" s="11"/>
      <c r="L94" s="11"/>
      <c r="M94"/>
      <c r="N94"/>
      <c r="O94"/>
      <c r="P94"/>
      <c r="Q94"/>
      <c r="R94"/>
      <c r="S94"/>
      <c r="T94"/>
      <c r="U94"/>
      <c r="V94"/>
      <c r="W94"/>
    </row>
    <row r="95" spans="3:23" s="3" customFormat="1" x14ac:dyDescent="0.25">
      <c r="C95" s="11"/>
      <c r="D95" s="11"/>
      <c r="G95" s="3" t="str">
        <f t="shared" si="3"/>
        <v/>
      </c>
      <c r="H95" s="3" t="str" cm="1">
        <f t="array" ref="H95">IFERROR(_xlfn.IFS(G95&lt;5,"Low",G95&lt;10,"Medium",G95&lt;16,"High",G95&lt;26,"Very High"),"")</f>
        <v/>
      </c>
      <c r="J95" s="11"/>
      <c r="L95" s="11"/>
      <c r="M95"/>
      <c r="N95"/>
      <c r="O95"/>
      <c r="P95"/>
      <c r="Q95"/>
      <c r="R95"/>
      <c r="S95"/>
      <c r="T95"/>
      <c r="U95"/>
      <c r="V95"/>
      <c r="W95"/>
    </row>
    <row r="96" spans="3:23" s="3" customFormat="1" x14ac:dyDescent="0.25">
      <c r="C96" s="11"/>
      <c r="D96" s="11"/>
      <c r="G96" s="3" t="str">
        <f t="shared" si="3"/>
        <v/>
      </c>
      <c r="H96" s="3" t="str" cm="1">
        <f t="array" ref="H96">IFERROR(_xlfn.IFS(G96&lt;5,"Low",G96&lt;10,"Medium",G96&lt;16,"High",G96&lt;26,"Very High"),"")</f>
        <v/>
      </c>
      <c r="J96" s="11"/>
      <c r="L96" s="11"/>
      <c r="M96"/>
      <c r="N96"/>
      <c r="O96"/>
      <c r="P96"/>
      <c r="Q96"/>
      <c r="R96"/>
      <c r="S96"/>
      <c r="T96"/>
      <c r="U96"/>
      <c r="V96"/>
      <c r="W96"/>
    </row>
    <row r="97" spans="3:23" s="3" customFormat="1" x14ac:dyDescent="0.25">
      <c r="C97" s="11"/>
      <c r="D97" s="11"/>
      <c r="G97" s="3" t="str">
        <f t="shared" si="3"/>
        <v/>
      </c>
      <c r="H97" s="3" t="str" cm="1">
        <f t="array" ref="H97">IFERROR(_xlfn.IFS(G97&lt;5,"Low",G97&lt;10,"Medium",G97&lt;16,"High",G97&lt;26,"Very High"),"")</f>
        <v/>
      </c>
      <c r="J97" s="11"/>
      <c r="L97" s="11"/>
      <c r="M97"/>
      <c r="N97"/>
      <c r="O97"/>
      <c r="P97"/>
      <c r="Q97"/>
      <c r="R97"/>
      <c r="S97"/>
      <c r="T97"/>
      <c r="U97"/>
      <c r="V97"/>
      <c r="W97"/>
    </row>
    <row r="98" spans="3:23" s="3" customFormat="1" x14ac:dyDescent="0.25">
      <c r="C98" s="11"/>
      <c r="D98" s="11"/>
      <c r="G98" s="3" t="str">
        <f t="shared" si="3"/>
        <v/>
      </c>
      <c r="H98" s="3" t="str" cm="1">
        <f t="array" ref="H98">IFERROR(_xlfn.IFS(G98&lt;5,"Low",G98&lt;10,"Medium",G98&lt;16,"High",G98&lt;26,"Very High"),"")</f>
        <v/>
      </c>
      <c r="J98" s="11"/>
      <c r="L98" s="11"/>
      <c r="M98"/>
      <c r="N98"/>
      <c r="O98"/>
      <c r="P98"/>
      <c r="Q98"/>
      <c r="R98"/>
      <c r="S98"/>
      <c r="T98"/>
      <c r="U98"/>
      <c r="V98"/>
      <c r="W98"/>
    </row>
    <row r="99" spans="3:23" s="3" customFormat="1" x14ac:dyDescent="0.25">
      <c r="C99" s="11"/>
      <c r="D99" s="11"/>
      <c r="G99" s="3" t="str">
        <f t="shared" si="3"/>
        <v/>
      </c>
      <c r="H99" s="3" t="str" cm="1">
        <f t="array" ref="H99">IFERROR(_xlfn.IFS(G99&lt;5,"Low",G99&lt;10,"Medium",G99&lt;16,"High",G99&lt;26,"Very High"),"")</f>
        <v/>
      </c>
      <c r="J99" s="11"/>
      <c r="L99" s="11"/>
      <c r="M99"/>
      <c r="N99"/>
      <c r="O99"/>
      <c r="P99"/>
      <c r="Q99"/>
      <c r="R99"/>
      <c r="S99"/>
      <c r="T99"/>
      <c r="U99"/>
      <c r="V99"/>
      <c r="W99"/>
    </row>
    <row r="100" spans="3:23" s="3" customFormat="1" x14ac:dyDescent="0.25">
      <c r="C100" s="11"/>
      <c r="D100" s="11"/>
      <c r="G100" s="3" t="str">
        <f t="shared" si="3"/>
        <v/>
      </c>
      <c r="H100" s="3" t="str" cm="1">
        <f t="array" ref="H100">IFERROR(_xlfn.IFS(G100&lt;5,"Low",G100&lt;10,"Medium",G100&lt;16,"High",G100&lt;26,"Very High"),"")</f>
        <v/>
      </c>
      <c r="J100" s="11"/>
      <c r="L100" s="11"/>
      <c r="M100"/>
      <c r="N100"/>
      <c r="O100"/>
      <c r="P100"/>
      <c r="Q100"/>
      <c r="R100"/>
      <c r="S100"/>
      <c r="T100"/>
      <c r="U100"/>
      <c r="V100"/>
      <c r="W100"/>
    </row>
    <row r="101" spans="3:23" s="3" customFormat="1" x14ac:dyDescent="0.25">
      <c r="C101" s="11"/>
      <c r="D101" s="11"/>
      <c r="G101" s="3" t="str">
        <f t="shared" si="3"/>
        <v/>
      </c>
      <c r="H101" s="3" t="str" cm="1">
        <f t="array" ref="H101">IFERROR(_xlfn.IFS(G101&lt;5,"Low",G101&lt;10,"Medium",G101&lt;16,"High",G101&lt;26,"Very High"),"")</f>
        <v/>
      </c>
      <c r="J101" s="11"/>
      <c r="L101" s="11"/>
      <c r="M101"/>
      <c r="N101"/>
      <c r="O101"/>
      <c r="P101"/>
      <c r="Q101"/>
      <c r="R101"/>
      <c r="S101"/>
      <c r="T101"/>
      <c r="U101"/>
      <c r="V101"/>
      <c r="W101"/>
    </row>
    <row r="102" spans="3:23" s="3" customFormat="1" x14ac:dyDescent="0.25">
      <c r="C102" s="11"/>
      <c r="D102" s="11"/>
      <c r="G102" s="3" t="str">
        <f t="shared" si="3"/>
        <v/>
      </c>
      <c r="H102" s="3" t="str" cm="1">
        <f t="array" ref="H102">IFERROR(_xlfn.IFS(G102&lt;5,"Low",G102&lt;10,"Medium",G102&lt;16,"High",G102&lt;26,"Very High"),"")</f>
        <v/>
      </c>
      <c r="J102" s="11"/>
      <c r="L102" s="11"/>
      <c r="M102"/>
      <c r="N102"/>
      <c r="O102"/>
      <c r="P102"/>
      <c r="Q102"/>
      <c r="R102"/>
      <c r="S102"/>
      <c r="T102"/>
      <c r="U102"/>
      <c r="V102"/>
      <c r="W102"/>
    </row>
    <row r="103" spans="3:23" s="3" customFormat="1" x14ac:dyDescent="0.25">
      <c r="C103" s="11"/>
      <c r="D103" s="11"/>
      <c r="G103" s="3" t="str">
        <f t="shared" si="3"/>
        <v/>
      </c>
      <c r="H103" s="3" t="str" cm="1">
        <f t="array" ref="H103">IFERROR(_xlfn.IFS(G103&lt;5,"Low",G103&lt;10,"Medium",G103&lt;16,"High",G103&lt;26,"Very High"),"")</f>
        <v/>
      </c>
      <c r="J103" s="11"/>
      <c r="L103" s="11"/>
      <c r="M103"/>
      <c r="N103"/>
      <c r="O103"/>
      <c r="P103"/>
      <c r="Q103"/>
      <c r="R103"/>
      <c r="S103"/>
      <c r="T103"/>
      <c r="U103"/>
      <c r="V103"/>
      <c r="W103"/>
    </row>
    <row r="104" spans="3:23" s="3" customFormat="1" x14ac:dyDescent="0.25">
      <c r="C104" s="11"/>
      <c r="D104" s="11"/>
      <c r="G104" s="3" t="str">
        <f t="shared" si="3"/>
        <v/>
      </c>
      <c r="H104" s="3" t="str" cm="1">
        <f t="array" ref="H104">IFERROR(_xlfn.IFS(G104&lt;5,"Low",G104&lt;10,"Medium",G104&lt;16,"High",G104&lt;26,"Very High"),"")</f>
        <v/>
      </c>
      <c r="J104" s="11"/>
      <c r="L104" s="11"/>
      <c r="M104"/>
      <c r="N104"/>
      <c r="O104"/>
      <c r="P104"/>
      <c r="Q104"/>
      <c r="R104"/>
      <c r="S104"/>
      <c r="T104"/>
      <c r="U104"/>
      <c r="V104"/>
      <c r="W104"/>
    </row>
    <row r="105" spans="3:23" s="3" customFormat="1" x14ac:dyDescent="0.25">
      <c r="C105" s="11"/>
      <c r="D105" s="11"/>
      <c r="G105" s="3" t="str">
        <f t="shared" si="3"/>
        <v/>
      </c>
      <c r="H105" s="3" t="str" cm="1">
        <f t="array" ref="H105">IFERROR(_xlfn.IFS(G105&lt;5,"Low",G105&lt;10,"Medium",G105&lt;16,"High",G105&lt;26,"Very High"),"")</f>
        <v/>
      </c>
      <c r="J105" s="11"/>
      <c r="L105" s="11"/>
      <c r="M105"/>
      <c r="N105"/>
      <c r="O105"/>
      <c r="P105"/>
      <c r="Q105"/>
      <c r="R105"/>
      <c r="S105"/>
      <c r="T105"/>
      <c r="U105"/>
      <c r="V105"/>
      <c r="W105"/>
    </row>
    <row r="106" spans="3:23" s="3" customFormat="1" x14ac:dyDescent="0.25">
      <c r="C106" s="11"/>
      <c r="D106" s="11"/>
      <c r="G106" s="3" t="str">
        <f t="shared" si="3"/>
        <v/>
      </c>
      <c r="H106" s="3" t="str" cm="1">
        <f t="array" ref="H106">IFERROR(_xlfn.IFS(G106&lt;5,"Low",G106&lt;10,"Medium",G106&lt;16,"High",G106&lt;26,"Very High"),"")</f>
        <v/>
      </c>
      <c r="J106" s="11"/>
      <c r="L106" s="11"/>
      <c r="M106"/>
      <c r="N106"/>
      <c r="O106"/>
      <c r="P106"/>
      <c r="Q106"/>
      <c r="R106"/>
      <c r="S106"/>
      <c r="T106"/>
      <c r="U106"/>
      <c r="V106"/>
      <c r="W106"/>
    </row>
    <row r="107" spans="3:23" s="3" customFormat="1" x14ac:dyDescent="0.25">
      <c r="C107" s="11"/>
      <c r="D107" s="11"/>
      <c r="G107" s="3" t="str">
        <f t="shared" si="3"/>
        <v/>
      </c>
      <c r="H107" s="3" t="str" cm="1">
        <f t="array" ref="H107">IFERROR(_xlfn.IFS(G107&lt;5,"Low",G107&lt;10,"Medium",G107&lt;16,"High",G107&lt;26,"Very High"),"")</f>
        <v/>
      </c>
      <c r="J107" s="11"/>
      <c r="L107" s="11"/>
      <c r="M107"/>
      <c r="N107"/>
      <c r="O107"/>
      <c r="P107"/>
      <c r="Q107"/>
      <c r="R107"/>
      <c r="S107"/>
      <c r="T107"/>
      <c r="U107"/>
      <c r="V107"/>
      <c r="W107"/>
    </row>
    <row r="108" spans="3:23" s="3" customFormat="1" x14ac:dyDescent="0.25">
      <c r="C108" s="11"/>
      <c r="D108" s="11"/>
      <c r="G108" s="3" t="str">
        <f t="shared" si="3"/>
        <v/>
      </c>
      <c r="H108" s="3" t="str" cm="1">
        <f t="array" ref="H108">IFERROR(_xlfn.IFS(G108&lt;5,"Low",G108&lt;10,"Medium",G108&lt;16,"High",G108&lt;26,"Very High"),"")</f>
        <v/>
      </c>
      <c r="J108" s="11"/>
      <c r="L108" s="11"/>
      <c r="M108"/>
      <c r="N108"/>
      <c r="O108"/>
      <c r="P108"/>
      <c r="Q108"/>
      <c r="R108"/>
      <c r="S108"/>
      <c r="T108"/>
      <c r="U108"/>
      <c r="V108"/>
      <c r="W108"/>
    </row>
    <row r="109" spans="3:23" s="3" customFormat="1" x14ac:dyDescent="0.25">
      <c r="C109" s="11"/>
      <c r="D109" s="11"/>
      <c r="G109" s="3" t="str">
        <f t="shared" si="3"/>
        <v/>
      </c>
      <c r="H109" s="3" t="str" cm="1">
        <f t="array" ref="H109">IFERROR(_xlfn.IFS(G109&lt;5,"Low",G109&lt;10,"Medium",G109&lt;16,"High",G109&lt;26,"Very High"),"")</f>
        <v/>
      </c>
      <c r="J109" s="11"/>
      <c r="L109" s="11"/>
      <c r="M109"/>
      <c r="N109"/>
      <c r="O109"/>
      <c r="P109"/>
      <c r="Q109"/>
      <c r="R109"/>
      <c r="S109"/>
      <c r="T109"/>
      <c r="U109"/>
      <c r="V109"/>
      <c r="W109"/>
    </row>
    <row r="110" spans="3:23" s="3" customFormat="1" x14ac:dyDescent="0.25">
      <c r="C110" s="11"/>
      <c r="D110" s="11"/>
      <c r="G110" s="3" t="str">
        <f t="shared" si="3"/>
        <v/>
      </c>
      <c r="H110" s="3" t="str" cm="1">
        <f t="array" ref="H110">IFERROR(_xlfn.IFS(G110&lt;5,"Low",G110&lt;10,"Medium",G110&lt;16,"High",G110&lt;26,"Very High"),"")</f>
        <v/>
      </c>
      <c r="J110" s="11"/>
      <c r="L110" s="11"/>
      <c r="M110"/>
      <c r="N110"/>
      <c r="O110"/>
      <c r="P110"/>
      <c r="Q110"/>
      <c r="R110"/>
      <c r="S110"/>
      <c r="T110"/>
      <c r="U110"/>
      <c r="V110"/>
      <c r="W110"/>
    </row>
    <row r="111" spans="3:23" s="3" customFormat="1" x14ac:dyDescent="0.25">
      <c r="C111" s="11"/>
      <c r="D111" s="11"/>
      <c r="G111" s="3" t="str">
        <f t="shared" si="3"/>
        <v/>
      </c>
      <c r="H111" s="3" t="str" cm="1">
        <f t="array" ref="H111">IFERROR(_xlfn.IFS(G111&lt;5,"Low",G111&lt;10,"Medium",G111&lt;16,"High",G111&lt;26,"Very High"),"")</f>
        <v/>
      </c>
      <c r="J111" s="11"/>
      <c r="L111" s="11"/>
      <c r="M111"/>
      <c r="N111"/>
      <c r="O111"/>
      <c r="P111"/>
      <c r="Q111"/>
      <c r="R111"/>
      <c r="S111"/>
      <c r="T111"/>
      <c r="U111"/>
      <c r="V111"/>
      <c r="W111"/>
    </row>
    <row r="112" spans="3:23" s="3" customFormat="1" x14ac:dyDescent="0.25">
      <c r="C112" s="11"/>
      <c r="D112" s="11"/>
      <c r="G112" s="3" t="str">
        <f t="shared" si="3"/>
        <v/>
      </c>
      <c r="H112" s="3" t="str" cm="1">
        <f t="array" ref="H112">IFERROR(_xlfn.IFS(G112&lt;5,"Low",G112&lt;10,"Medium",G112&lt;16,"High",G112&lt;26,"Very High"),"")</f>
        <v/>
      </c>
      <c r="J112" s="11"/>
      <c r="L112" s="11"/>
      <c r="M112"/>
      <c r="N112"/>
      <c r="O112"/>
      <c r="P112"/>
      <c r="Q112"/>
      <c r="R112"/>
      <c r="S112"/>
      <c r="T112"/>
      <c r="U112"/>
      <c r="V112"/>
      <c r="W112"/>
    </row>
    <row r="113" spans="3:23" s="3" customFormat="1" x14ac:dyDescent="0.25">
      <c r="C113" s="11"/>
      <c r="D113" s="11"/>
      <c r="G113" s="3" t="str">
        <f t="shared" si="3"/>
        <v/>
      </c>
      <c r="H113" s="3" t="str" cm="1">
        <f t="array" ref="H113">IFERROR(_xlfn.IFS(G113&lt;5,"Low",G113&lt;10,"Medium",G113&lt;16,"High",G113&lt;26,"Very High"),"")</f>
        <v/>
      </c>
      <c r="J113" s="11"/>
      <c r="L113" s="11"/>
      <c r="M113"/>
      <c r="N113"/>
      <c r="O113"/>
      <c r="P113"/>
      <c r="Q113"/>
      <c r="R113"/>
      <c r="S113"/>
      <c r="T113"/>
      <c r="U113"/>
      <c r="V113"/>
      <c r="W113"/>
    </row>
    <row r="114" spans="3:23" s="3" customFormat="1" x14ac:dyDescent="0.25">
      <c r="C114" s="11"/>
      <c r="D114" s="11"/>
      <c r="G114" s="3" t="str">
        <f t="shared" si="3"/>
        <v/>
      </c>
      <c r="H114" s="3" t="str" cm="1">
        <f t="array" ref="H114">IFERROR(_xlfn.IFS(G114&lt;5,"Low",G114&lt;10,"Medium",G114&lt;16,"High",G114&lt;26,"Very High"),"")</f>
        <v/>
      </c>
      <c r="J114" s="11"/>
      <c r="L114" s="11"/>
      <c r="M114"/>
      <c r="N114"/>
      <c r="O114"/>
      <c r="P114"/>
      <c r="Q114"/>
      <c r="R114"/>
      <c r="S114"/>
      <c r="T114"/>
      <c r="U114"/>
      <c r="V114"/>
      <c r="W114"/>
    </row>
    <row r="115" spans="3:23" s="3" customFormat="1" x14ac:dyDescent="0.25">
      <c r="C115" s="11"/>
      <c r="D115" s="11"/>
      <c r="G115" s="3" t="str">
        <f t="shared" si="3"/>
        <v/>
      </c>
      <c r="H115" s="3" t="str" cm="1">
        <f t="array" ref="H115">IFERROR(_xlfn.IFS(G115&lt;5,"Low",G115&lt;10,"Medium",G115&lt;16,"High",G115&lt;26,"Very High"),"")</f>
        <v/>
      </c>
      <c r="J115" s="11"/>
      <c r="L115" s="11"/>
      <c r="M115"/>
      <c r="N115"/>
      <c r="O115"/>
      <c r="P115"/>
      <c r="Q115"/>
      <c r="R115"/>
      <c r="S115"/>
      <c r="T115"/>
      <c r="U115"/>
      <c r="V115"/>
      <c r="W115"/>
    </row>
    <row r="116" spans="3:23" s="3" customFormat="1" x14ac:dyDescent="0.25">
      <c r="C116" s="11"/>
      <c r="D116" s="11"/>
      <c r="G116" s="3" t="str">
        <f t="shared" si="3"/>
        <v/>
      </c>
      <c r="H116" s="3" t="str" cm="1">
        <f t="array" ref="H116">IFERROR(_xlfn.IFS(G116&lt;5,"Low",G116&lt;10,"Medium",G116&lt;16,"High",G116&lt;26,"Very High"),"")</f>
        <v/>
      </c>
      <c r="J116" s="11"/>
      <c r="L116" s="11"/>
      <c r="M116"/>
      <c r="N116"/>
      <c r="O116"/>
      <c r="P116"/>
      <c r="Q116"/>
      <c r="R116"/>
      <c r="S116"/>
      <c r="T116"/>
      <c r="U116"/>
      <c r="V116"/>
      <c r="W116"/>
    </row>
    <row r="117" spans="3:23" s="3" customFormat="1" x14ac:dyDescent="0.25">
      <c r="C117" s="11"/>
      <c r="D117" s="11"/>
      <c r="G117" s="3" t="str">
        <f t="shared" si="3"/>
        <v/>
      </c>
      <c r="H117" s="3" t="str" cm="1">
        <f t="array" ref="H117">IFERROR(_xlfn.IFS(G117&lt;5,"Low",G117&lt;10,"Medium",G117&lt;16,"High",G117&lt;26,"Very High"),"")</f>
        <v/>
      </c>
      <c r="J117" s="11"/>
      <c r="L117" s="11"/>
      <c r="M117"/>
      <c r="N117"/>
      <c r="O117"/>
      <c r="P117"/>
      <c r="Q117"/>
      <c r="R117"/>
      <c r="S117"/>
      <c r="T117"/>
      <c r="U117"/>
      <c r="V117"/>
      <c r="W117"/>
    </row>
    <row r="118" spans="3:23" s="3" customFormat="1" x14ac:dyDescent="0.25">
      <c r="C118" s="11"/>
      <c r="D118" s="11"/>
      <c r="G118" s="3" t="str">
        <f t="shared" si="3"/>
        <v/>
      </c>
      <c r="H118" s="3" t="str" cm="1">
        <f t="array" ref="H118">IFERROR(_xlfn.IFS(G118&lt;5,"Low",G118&lt;10,"Medium",G118&lt;16,"High",G118&lt;26,"Very High"),"")</f>
        <v/>
      </c>
      <c r="J118" s="11"/>
      <c r="L118" s="11"/>
      <c r="M118"/>
      <c r="N118"/>
      <c r="O118"/>
      <c r="P118"/>
      <c r="Q118"/>
      <c r="R118"/>
      <c r="S118"/>
      <c r="T118"/>
      <c r="U118"/>
      <c r="V118"/>
      <c r="W118"/>
    </row>
    <row r="119" spans="3:23" s="3" customFormat="1" x14ac:dyDescent="0.25">
      <c r="C119" s="11"/>
      <c r="D119" s="11"/>
      <c r="G119" s="3" t="str">
        <f t="shared" si="3"/>
        <v/>
      </c>
      <c r="H119" s="3" t="str" cm="1">
        <f t="array" ref="H119">IFERROR(_xlfn.IFS(G119&lt;5,"Low",G119&lt;10,"Medium",G119&lt;16,"High",G119&lt;26,"Very High"),"")</f>
        <v/>
      </c>
      <c r="J119" s="11"/>
      <c r="L119" s="11"/>
      <c r="M119"/>
      <c r="N119"/>
      <c r="O119"/>
      <c r="P119"/>
      <c r="Q119"/>
      <c r="R119"/>
      <c r="S119"/>
      <c r="T119"/>
      <c r="U119"/>
      <c r="V119"/>
      <c r="W119"/>
    </row>
    <row r="120" spans="3:23" s="3" customFormat="1" x14ac:dyDescent="0.25">
      <c r="C120" s="11"/>
      <c r="D120" s="11"/>
      <c r="G120" s="3" t="str">
        <f t="shared" si="3"/>
        <v/>
      </c>
      <c r="H120" s="3" t="str" cm="1">
        <f t="array" ref="H120">IFERROR(_xlfn.IFS(G120&lt;5,"Low",G120&lt;10,"Medium",G120&lt;16,"High",G120&lt;26,"Very High"),"")</f>
        <v/>
      </c>
      <c r="J120" s="11"/>
      <c r="L120" s="11"/>
      <c r="M120"/>
      <c r="N120"/>
      <c r="O120"/>
      <c r="P120"/>
      <c r="Q120"/>
      <c r="R120"/>
      <c r="S120"/>
      <c r="T120"/>
      <c r="U120"/>
      <c r="V120"/>
      <c r="W120"/>
    </row>
    <row r="121" spans="3:23" s="3" customFormat="1" x14ac:dyDescent="0.25">
      <c r="C121" s="11"/>
      <c r="D121" s="11"/>
      <c r="G121" s="3" t="str">
        <f t="shared" si="3"/>
        <v/>
      </c>
      <c r="H121" s="3" t="str" cm="1">
        <f t="array" ref="H121">IFERROR(_xlfn.IFS(G121&lt;5,"Low",G121&lt;10,"Medium",G121&lt;16,"High",G121&lt;26,"Very High"),"")</f>
        <v/>
      </c>
      <c r="J121" s="11"/>
      <c r="L121" s="11"/>
      <c r="M121"/>
      <c r="N121"/>
      <c r="O121"/>
      <c r="P121"/>
      <c r="Q121"/>
      <c r="R121"/>
      <c r="S121"/>
      <c r="T121"/>
      <c r="U121"/>
      <c r="V121"/>
      <c r="W121"/>
    </row>
    <row r="122" spans="3:23" s="3" customFormat="1" x14ac:dyDescent="0.25">
      <c r="C122" s="11"/>
      <c r="D122" s="11"/>
      <c r="G122" s="3" t="str">
        <f t="shared" si="3"/>
        <v/>
      </c>
      <c r="H122" s="3" t="str" cm="1">
        <f t="array" ref="H122">IFERROR(_xlfn.IFS(G122&lt;5,"Low",G122&lt;10,"Medium",G122&lt;16,"High",G122&lt;26,"Very High"),"")</f>
        <v/>
      </c>
      <c r="J122" s="11"/>
      <c r="L122" s="11"/>
      <c r="M122"/>
      <c r="N122"/>
      <c r="O122"/>
      <c r="P122"/>
      <c r="Q122"/>
      <c r="R122"/>
      <c r="S122"/>
      <c r="T122"/>
      <c r="U122"/>
      <c r="V122"/>
      <c r="W122"/>
    </row>
    <row r="123" spans="3:23" s="3" customFormat="1" x14ac:dyDescent="0.25">
      <c r="C123" s="11"/>
      <c r="D123" s="11"/>
      <c r="G123" s="3" t="str">
        <f t="shared" si="3"/>
        <v/>
      </c>
      <c r="H123" s="3" t="str" cm="1">
        <f t="array" ref="H123">IFERROR(_xlfn.IFS(G123&lt;5,"Low",G123&lt;10,"Medium",G123&lt;16,"High",G123&lt;26,"Very High"),"")</f>
        <v/>
      </c>
      <c r="J123" s="11"/>
      <c r="L123" s="11"/>
      <c r="M123"/>
      <c r="N123"/>
      <c r="O123"/>
      <c r="P123"/>
      <c r="Q123"/>
      <c r="R123"/>
      <c r="S123"/>
      <c r="T123"/>
      <c r="U123"/>
      <c r="V123"/>
      <c r="W123"/>
    </row>
  </sheetData>
  <mergeCells count="1">
    <mergeCell ref="A1:W4"/>
  </mergeCells>
  <phoneticPr fontId="3" type="noConversion"/>
  <conditionalFormatting sqref="C7:D1048576">
    <cfRule type="containsText" dxfId="8" priority="1" operator="containsText" text="Yes">
      <formula>NOT(ISERROR(SEARCH("Yes",C7)))</formula>
    </cfRule>
  </conditionalFormatting>
  <conditionalFormatting sqref="H7:H1048576">
    <cfRule type="expression" dxfId="7" priority="2">
      <formula>H7="Low"</formula>
    </cfRule>
    <cfRule type="expression" dxfId="6" priority="3">
      <formula>H7="Medium"</formula>
    </cfRule>
    <cfRule type="expression" dxfId="5" priority="4">
      <formula>H7="High"</formula>
    </cfRule>
    <cfRule type="expression" dxfId="4" priority="5">
      <formula>H7="Very High"</formula>
    </cfRule>
  </conditionalFormatting>
  <dataValidations count="4">
    <dataValidation type="list" allowBlank="1" showInputMessage="1" showErrorMessage="1" sqref="B7:B1048576" xr:uid="{3B103C93-DBE3-448A-A9EA-E37CEB649B7F}">
      <formula1>"Initiation, Planning, Execution, Controlling, Closure, ALL"</formula1>
    </dataValidation>
    <dataValidation type="whole" allowBlank="1" showInputMessage="1" showErrorMessage="1" sqref="E7:F1048576" xr:uid="{526CA6D8-F4E5-4279-919A-ADA31B93C7BC}">
      <formula1>1</formula1>
      <formula2>5</formula2>
    </dataValidation>
    <dataValidation type="list" allowBlank="1" showInputMessage="1" showErrorMessage="1" sqref="I7:I1048576" xr:uid="{80CA41FF-05C9-4362-960F-FD3DF597732F}">
      <formula1>"Cost, Schedule, Scope, Quality, HR, All"</formula1>
    </dataValidation>
    <dataValidation type="list" allowBlank="1" showInputMessage="1" showErrorMessage="1" sqref="D7:D1048576" xr:uid="{F05B3DC8-695E-46EC-9273-DA1AB7A50FC0}">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60C76-5AD7-4FCE-A229-A689D32E1424}">
  <dimension ref="A1:E10"/>
  <sheetViews>
    <sheetView workbookViewId="0">
      <selection activeCell="D8" sqref="D8"/>
    </sheetView>
  </sheetViews>
  <sheetFormatPr defaultRowHeight="15" x14ac:dyDescent="0.25"/>
  <cols>
    <col min="4" max="4" width="47.85546875" style="2" customWidth="1"/>
    <col min="5" max="5" width="11.7109375" customWidth="1"/>
  </cols>
  <sheetData>
    <row r="1" spans="1:5" x14ac:dyDescent="0.25">
      <c r="A1" t="s">
        <v>0</v>
      </c>
      <c r="B1" t="s">
        <v>1</v>
      </c>
      <c r="C1" t="s">
        <v>20</v>
      </c>
      <c r="D1" s="2" t="s">
        <v>18</v>
      </c>
      <c r="E1" t="s">
        <v>19</v>
      </c>
    </row>
    <row r="2" spans="1:5" ht="30" x14ac:dyDescent="0.25">
      <c r="A2" t="s">
        <v>21</v>
      </c>
      <c r="B2" t="s">
        <v>16</v>
      </c>
      <c r="C2" t="s">
        <v>71</v>
      </c>
      <c r="D2" s="11" t="s">
        <v>34</v>
      </c>
      <c r="E2" t="s">
        <v>56</v>
      </c>
    </row>
    <row r="3" spans="1:5" ht="30" x14ac:dyDescent="0.25">
      <c r="A3" t="s">
        <v>22</v>
      </c>
      <c r="B3" t="s">
        <v>14</v>
      </c>
      <c r="C3" t="s">
        <v>91</v>
      </c>
      <c r="D3" s="11" t="s">
        <v>15</v>
      </c>
      <c r="E3" t="s">
        <v>56</v>
      </c>
    </row>
    <row r="4" spans="1:5" ht="30" x14ac:dyDescent="0.25">
      <c r="A4" t="s">
        <v>23</v>
      </c>
      <c r="B4" t="s">
        <v>16</v>
      </c>
      <c r="C4" t="s">
        <v>91</v>
      </c>
      <c r="D4" s="2" t="s">
        <v>62</v>
      </c>
      <c r="E4" t="s">
        <v>56</v>
      </c>
    </row>
    <row r="5" spans="1:5" ht="30" x14ac:dyDescent="0.25">
      <c r="A5" t="s">
        <v>24</v>
      </c>
      <c r="B5" t="s">
        <v>16</v>
      </c>
      <c r="C5" t="s">
        <v>91</v>
      </c>
      <c r="D5" s="2" t="s">
        <v>57</v>
      </c>
      <c r="E5" t="s">
        <v>56</v>
      </c>
    </row>
    <row r="6" spans="1:5" x14ac:dyDescent="0.25">
      <c r="A6" t="s">
        <v>63</v>
      </c>
      <c r="B6" t="s">
        <v>16</v>
      </c>
      <c r="C6" t="s">
        <v>91</v>
      </c>
      <c r="D6" s="2" t="s">
        <v>58</v>
      </c>
      <c r="E6" t="s">
        <v>56</v>
      </c>
    </row>
    <row r="7" spans="1:5" ht="30" x14ac:dyDescent="0.25">
      <c r="A7" t="s">
        <v>64</v>
      </c>
      <c r="B7" t="s">
        <v>16</v>
      </c>
      <c r="C7" t="s">
        <v>91</v>
      </c>
      <c r="D7" s="2" t="s">
        <v>59</v>
      </c>
      <c r="E7" t="s">
        <v>56</v>
      </c>
    </row>
    <row r="8" spans="1:5" ht="30" x14ac:dyDescent="0.25">
      <c r="A8" t="s">
        <v>65</v>
      </c>
      <c r="B8" t="s">
        <v>16</v>
      </c>
      <c r="C8" t="s">
        <v>91</v>
      </c>
      <c r="D8" s="2" t="s">
        <v>60</v>
      </c>
      <c r="E8" t="s">
        <v>56</v>
      </c>
    </row>
    <row r="9" spans="1:5" ht="30" x14ac:dyDescent="0.25">
      <c r="A9" t="s">
        <v>66</v>
      </c>
      <c r="B9" t="s">
        <v>16</v>
      </c>
      <c r="C9" t="s">
        <v>91</v>
      </c>
      <c r="D9" s="2" t="s">
        <v>61</v>
      </c>
      <c r="E9" t="s">
        <v>56</v>
      </c>
    </row>
    <row r="10" spans="1:5" x14ac:dyDescent="0.25">
      <c r="A10" t="s">
        <v>67</v>
      </c>
      <c r="B10" t="s">
        <v>54</v>
      </c>
      <c r="C10" t="s">
        <v>75</v>
      </c>
      <c r="D10" s="2" t="s">
        <v>92</v>
      </c>
      <c r="E10" t="s">
        <v>56</v>
      </c>
    </row>
  </sheetData>
  <phoneticPr fontId="3" type="noConversion"/>
  <conditionalFormatting sqref="D2:D3">
    <cfRule type="containsText" dxfId="3" priority="1" operator="containsText" text="Yes">
      <formula>NOT(ISERROR(SEARCH("Yes",D2)))</formula>
    </cfRule>
  </conditionalFormatting>
  <conditionalFormatting sqref="E2:E1048576">
    <cfRule type="containsText" dxfId="2" priority="5" operator="containsText" text="Active">
      <formula>NOT(ISERROR(SEARCH("Active",E2)))</formula>
    </cfRule>
    <cfRule type="containsText" dxfId="1" priority="6" operator="containsText" text="In Progress">
      <formula>NOT(ISERROR(SEARCH("In Progress",E2)))</formula>
    </cfRule>
    <cfRule type="containsText" dxfId="0" priority="7" operator="containsText" text="Resolved">
      <formula>NOT(ISERROR(SEARCH("Resolved",E2)))</formula>
    </cfRule>
  </conditionalFormatting>
  <dataValidations count="2">
    <dataValidation type="list" allowBlank="1" showInputMessage="1" showErrorMessage="1" sqref="E2:E1048576" xr:uid="{1A904FD7-DE40-4772-8A2B-A589BDB2F464}">
      <formula1>"Active, In Progress, Resolved"</formula1>
    </dataValidation>
    <dataValidation type="list" allowBlank="1" showInputMessage="1" showErrorMessage="1" sqref="B2:B1048576" xr:uid="{4BCB2E4D-E518-4DD3-8A7B-6C44B0E3D75C}">
      <formula1>"Initiation, Planning, Execution, Controlling, Closure, ALL"</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DF91E982F6D34F801271D9B1A7B290" ma:contentTypeVersion="19" ma:contentTypeDescription="Create a new document." ma:contentTypeScope="" ma:versionID="91ed435dee95bcfd29bede8854e098dd">
  <xsd:schema xmlns:xsd="http://www.w3.org/2001/XMLSchema" xmlns:xs="http://www.w3.org/2001/XMLSchema" xmlns:p="http://schemas.microsoft.com/office/2006/metadata/properties" xmlns:ns1="http://schemas.microsoft.com/sharepoint/v3" xmlns:ns2="43eab458-b6d4-4ae0-a661-802cbde67e65" xmlns:ns3="6cb0b164-e1d4-4560-9ab4-197fac4a667c" targetNamespace="http://schemas.microsoft.com/office/2006/metadata/properties" ma:root="true" ma:fieldsID="32aeb227d841ec4e0657776075202363" ns1:_="" ns2:_="" ns3:_="">
    <xsd:import namespace="http://schemas.microsoft.com/sharepoint/v3"/>
    <xsd:import namespace="43eab458-b6d4-4ae0-a661-802cbde67e65"/>
    <xsd:import namespace="6cb0b164-e1d4-4560-9ab4-197fac4a667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eab458-b6d4-4ae0-a661-802cbde67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b0c863e-0228-4653-941e-bd2f9e7268b3"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b0b164-e1d4-4560-9ab4-197fac4a667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5d70cf0-d224-42d9-a9d3-58e5ca6bdb39}" ma:internalName="TaxCatchAll" ma:showField="CatchAllData" ma:web="6cb0b164-e1d4-4560-9ab4-197fac4a66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3eab458-b6d4-4ae0-a661-802cbde67e65">
      <Terms xmlns="http://schemas.microsoft.com/office/infopath/2007/PartnerControls"/>
    </lcf76f155ced4ddcb4097134ff3c332f>
    <TaxCatchAll xmlns="6cb0b164-e1d4-4560-9ab4-197fac4a667c"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4D939E-710B-4BF2-8674-FB8EA25C35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3eab458-b6d4-4ae0-a661-802cbde67e65"/>
    <ds:schemaRef ds:uri="6cb0b164-e1d4-4560-9ab4-197fac4a66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ACF4A6-96D3-4F5B-86E6-1B63E8EFEBFB}">
  <ds:schemaRefs>
    <ds:schemaRef ds:uri="http://schemas.microsoft.com/office/2006/metadata/properties"/>
    <ds:schemaRef ds:uri="http://schemas.microsoft.com/office/infopath/2007/PartnerControls"/>
    <ds:schemaRef ds:uri="http://schemas.microsoft.com/sharepoint/v3"/>
    <ds:schemaRef ds:uri="43eab458-b6d4-4ae0-a661-802cbde67e65"/>
    <ds:schemaRef ds:uri="6cb0b164-e1d4-4560-9ab4-197fac4a667c"/>
  </ds:schemaRefs>
</ds:datastoreItem>
</file>

<file path=customXml/itemProps3.xml><?xml version="1.0" encoding="utf-8"?>
<ds:datastoreItem xmlns:ds="http://schemas.openxmlformats.org/officeDocument/2006/customXml" ds:itemID="{B0DF02EE-5278-4B32-B9FA-29465364764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Risk Register v2</vt:lpstr>
      <vt:lpstr>Issues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Adegeye Olakunle Daniel</dc:creator>
  <cp:lastModifiedBy>Whitney Nihi</cp:lastModifiedBy>
  <dcterms:created xsi:type="dcterms:W3CDTF">2024-03-25T09:40:19Z</dcterms:created>
  <dcterms:modified xsi:type="dcterms:W3CDTF">2026-07-03T10:39:38Z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0x010100C2DF91E982F6D34F801271D9B1A7B290</vt:lpwstr>
  </property>
</Properties>
</file>